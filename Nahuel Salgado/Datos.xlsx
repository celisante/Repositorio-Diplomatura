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onomicasuba-my.sharepoint.com/personal/08sa44670250_campus_economicas_uba_ar/Documents/Escritorio/Diplomatura/Trabajo final/"/>
    </mc:Choice>
  </mc:AlternateContent>
  <xr:revisionPtr revIDLastSave="998" documentId="8_{38EFDC78-3C21-42D9-8AF6-53DFA423AACA}" xr6:coauthVersionLast="47" xr6:coauthVersionMax="47" xr10:uidLastSave="{75000146-FE5A-4600-9968-6FD239F0F5CF}"/>
  <bookViews>
    <workbookView xWindow="-120" yWindow="-120" windowWidth="29040" windowHeight="15840" activeTab="2" xr2:uid="{46D7949B-7D5F-4078-BE18-11E6F03E1DF6}"/>
  </bookViews>
  <sheets>
    <sheet name="Canasta paper" sheetId="1" r:id="rId1"/>
    <sheet name="canasta_final" sheetId="2" r:id="rId2"/>
    <sheet name="preci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4" i="3" l="1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R44" i="3"/>
  <c r="S44" i="3"/>
  <c r="T44" i="3"/>
  <c r="U44" i="3"/>
  <c r="V44" i="3"/>
  <c r="W44" i="3"/>
  <c r="X44" i="3"/>
  <c r="Y44" i="3"/>
  <c r="Z44" i="3"/>
  <c r="AA44" i="3"/>
  <c r="AB44" i="3"/>
  <c r="AC44" i="3"/>
  <c r="AD44" i="3"/>
  <c r="AE44" i="3"/>
  <c r="AF44" i="3"/>
  <c r="AG44" i="3"/>
  <c r="AH44" i="3"/>
  <c r="AI44" i="3"/>
  <c r="AJ44" i="3"/>
  <c r="AK44" i="3"/>
  <c r="AL44" i="3"/>
  <c r="AM44" i="3"/>
  <c r="AN44" i="3"/>
  <c r="AO44" i="3"/>
  <c r="AP44" i="3"/>
  <c r="AQ44" i="3"/>
  <c r="AR44" i="3"/>
  <c r="AS44" i="3"/>
  <c r="AT44" i="3"/>
  <c r="AU44" i="3"/>
  <c r="AV44" i="3"/>
  <c r="AW44" i="3"/>
  <c r="AX44" i="3"/>
  <c r="AY44" i="3"/>
  <c r="AZ44" i="3"/>
  <c r="BA44" i="3"/>
  <c r="BB44" i="3"/>
  <c r="BC44" i="3"/>
  <c r="BD44" i="3"/>
  <c r="BE44" i="3"/>
  <c r="BF44" i="3"/>
  <c r="BG44" i="3"/>
  <c r="BH44" i="3"/>
  <c r="BI44" i="3"/>
  <c r="BJ44" i="3"/>
  <c r="BK44" i="3"/>
  <c r="BL44" i="3"/>
  <c r="BM44" i="3"/>
  <c r="BN44" i="3"/>
  <c r="BO44" i="3"/>
  <c r="BP44" i="3"/>
  <c r="BQ44" i="3"/>
  <c r="BR44" i="3"/>
  <c r="BS44" i="3"/>
  <c r="BT44" i="3"/>
  <c r="BU44" i="3"/>
  <c r="BV44" i="3"/>
  <c r="BW44" i="3"/>
  <c r="BX44" i="3"/>
  <c r="BY44" i="3"/>
  <c r="BZ44" i="3"/>
  <c r="CA44" i="3"/>
  <c r="CB44" i="3"/>
  <c r="CC44" i="3"/>
  <c r="CD44" i="3"/>
  <c r="CE44" i="3"/>
  <c r="CF44" i="3"/>
  <c r="CG44" i="3"/>
  <c r="CH44" i="3"/>
  <c r="CI44" i="3"/>
  <c r="CJ44" i="3"/>
  <c r="CK44" i="3"/>
  <c r="CL44" i="3"/>
  <c r="CM44" i="3"/>
  <c r="CN44" i="3"/>
  <c r="CO44" i="3"/>
  <c r="CP44" i="3"/>
  <c r="CQ44" i="3"/>
  <c r="CR44" i="3"/>
  <c r="B44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R42" i="3"/>
  <c r="S42" i="3"/>
  <c r="T42" i="3"/>
  <c r="U42" i="3"/>
  <c r="V42" i="3"/>
  <c r="W42" i="3"/>
  <c r="X42" i="3"/>
  <c r="Y42" i="3"/>
  <c r="Z42" i="3"/>
  <c r="AA42" i="3"/>
  <c r="AB42" i="3"/>
  <c r="AC42" i="3"/>
  <c r="AD42" i="3"/>
  <c r="AE42" i="3"/>
  <c r="AF42" i="3"/>
  <c r="AG42" i="3"/>
  <c r="AH42" i="3"/>
  <c r="AI42" i="3"/>
  <c r="AJ42" i="3"/>
  <c r="AK42" i="3"/>
  <c r="AL42" i="3"/>
  <c r="AM42" i="3"/>
  <c r="AN42" i="3"/>
  <c r="AO42" i="3"/>
  <c r="AP42" i="3"/>
  <c r="AQ42" i="3"/>
  <c r="AR42" i="3"/>
  <c r="AS42" i="3"/>
  <c r="AT42" i="3"/>
  <c r="AU42" i="3"/>
  <c r="AV42" i="3"/>
  <c r="AW42" i="3"/>
  <c r="AX42" i="3"/>
  <c r="AY42" i="3"/>
  <c r="AZ42" i="3"/>
  <c r="BA42" i="3"/>
  <c r="BB42" i="3"/>
  <c r="BC42" i="3"/>
  <c r="BD42" i="3"/>
  <c r="BE42" i="3"/>
  <c r="BF42" i="3"/>
  <c r="BG42" i="3"/>
  <c r="BH42" i="3"/>
  <c r="BI42" i="3"/>
  <c r="BJ42" i="3"/>
  <c r="BK42" i="3"/>
  <c r="BL42" i="3"/>
  <c r="BM42" i="3"/>
  <c r="BN42" i="3"/>
  <c r="BO42" i="3"/>
  <c r="BP42" i="3"/>
  <c r="BQ42" i="3"/>
  <c r="BR42" i="3"/>
  <c r="BS42" i="3"/>
  <c r="BT42" i="3"/>
  <c r="BU42" i="3"/>
  <c r="BV42" i="3"/>
  <c r="BW42" i="3"/>
  <c r="BX42" i="3"/>
  <c r="BY42" i="3"/>
  <c r="BZ42" i="3"/>
  <c r="CA42" i="3"/>
  <c r="CB42" i="3"/>
  <c r="CC42" i="3"/>
  <c r="CD42" i="3"/>
  <c r="CE42" i="3"/>
  <c r="CF42" i="3"/>
  <c r="CG42" i="3"/>
  <c r="CH42" i="3"/>
  <c r="CI42" i="3"/>
  <c r="CJ42" i="3"/>
  <c r="CK42" i="3"/>
  <c r="CL42" i="3"/>
  <c r="CM42" i="3"/>
  <c r="CN42" i="3"/>
  <c r="CO42" i="3"/>
  <c r="CP42" i="3"/>
  <c r="CQ42" i="3"/>
  <c r="CR42" i="3"/>
  <c r="B42" i="3"/>
  <c r="C40" i="3"/>
  <c r="D40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0" i="3"/>
  <c r="AK40" i="3"/>
  <c r="AL40" i="3"/>
  <c r="AM40" i="3"/>
  <c r="AN40" i="3"/>
  <c r="AO40" i="3"/>
  <c r="AP40" i="3"/>
  <c r="AQ40" i="3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BL40" i="3"/>
  <c r="BM40" i="3"/>
  <c r="BN40" i="3"/>
  <c r="BO40" i="3"/>
  <c r="BP40" i="3"/>
  <c r="BQ40" i="3"/>
  <c r="BR40" i="3"/>
  <c r="BS40" i="3"/>
  <c r="BT40" i="3"/>
  <c r="BU40" i="3"/>
  <c r="BV40" i="3"/>
  <c r="BW40" i="3"/>
  <c r="BX40" i="3"/>
  <c r="BY40" i="3"/>
  <c r="BZ40" i="3"/>
  <c r="CA40" i="3"/>
  <c r="CB40" i="3"/>
  <c r="CC40" i="3"/>
  <c r="CD40" i="3"/>
  <c r="CE40" i="3"/>
  <c r="CF40" i="3"/>
  <c r="CG40" i="3"/>
  <c r="CH40" i="3"/>
  <c r="CI40" i="3"/>
  <c r="CJ40" i="3"/>
  <c r="CK40" i="3"/>
  <c r="CL40" i="3"/>
  <c r="CM40" i="3"/>
  <c r="CN40" i="3"/>
  <c r="CO40" i="3"/>
  <c r="CP40" i="3"/>
  <c r="CQ40" i="3"/>
  <c r="CR40" i="3"/>
  <c r="B40" i="3"/>
  <c r="C39" i="3"/>
  <c r="D39" i="3"/>
  <c r="E39" i="3"/>
  <c r="F39" i="3"/>
  <c r="G39" i="3"/>
  <c r="H39" i="3"/>
  <c r="I39" i="3"/>
  <c r="J39" i="3"/>
  <c r="K39" i="3"/>
  <c r="L39" i="3"/>
  <c r="M39" i="3"/>
  <c r="N39" i="3"/>
  <c r="O39" i="3"/>
  <c r="P39" i="3"/>
  <c r="Q39" i="3"/>
  <c r="R39" i="3"/>
  <c r="S39" i="3"/>
  <c r="T39" i="3"/>
  <c r="U39" i="3"/>
  <c r="V39" i="3"/>
  <c r="W39" i="3"/>
  <c r="X39" i="3"/>
  <c r="Y39" i="3"/>
  <c r="Z39" i="3"/>
  <c r="AA39" i="3"/>
  <c r="AB39" i="3"/>
  <c r="AC39" i="3"/>
  <c r="AD39" i="3"/>
  <c r="AE39" i="3"/>
  <c r="AF39" i="3"/>
  <c r="AG39" i="3"/>
  <c r="AH39" i="3"/>
  <c r="AI39" i="3"/>
  <c r="AJ39" i="3"/>
  <c r="AK39" i="3"/>
  <c r="AL39" i="3"/>
  <c r="AM39" i="3"/>
  <c r="AN39" i="3"/>
  <c r="AO39" i="3"/>
  <c r="AP39" i="3"/>
  <c r="AQ39" i="3"/>
  <c r="AR39" i="3"/>
  <c r="AS39" i="3"/>
  <c r="AT39" i="3"/>
  <c r="AU39" i="3"/>
  <c r="AV39" i="3"/>
  <c r="AW39" i="3"/>
  <c r="AX39" i="3"/>
  <c r="AY39" i="3"/>
  <c r="AZ39" i="3"/>
  <c r="BA39" i="3"/>
  <c r="BB39" i="3"/>
  <c r="BC39" i="3"/>
  <c r="BD39" i="3"/>
  <c r="BE39" i="3"/>
  <c r="BF39" i="3"/>
  <c r="BG39" i="3"/>
  <c r="BH39" i="3"/>
  <c r="BI39" i="3"/>
  <c r="BJ39" i="3"/>
  <c r="BK39" i="3"/>
  <c r="BL39" i="3"/>
  <c r="BM39" i="3"/>
  <c r="BN39" i="3"/>
  <c r="BO39" i="3"/>
  <c r="BP39" i="3"/>
  <c r="BQ39" i="3"/>
  <c r="BR39" i="3"/>
  <c r="BS39" i="3"/>
  <c r="BT39" i="3"/>
  <c r="BU39" i="3"/>
  <c r="BV39" i="3"/>
  <c r="BW39" i="3"/>
  <c r="BX39" i="3"/>
  <c r="BY39" i="3"/>
  <c r="BZ39" i="3"/>
  <c r="CA39" i="3"/>
  <c r="CB39" i="3"/>
  <c r="CC39" i="3"/>
  <c r="CD39" i="3"/>
  <c r="CE39" i="3"/>
  <c r="CF39" i="3"/>
  <c r="CG39" i="3"/>
  <c r="CH39" i="3"/>
  <c r="CI39" i="3"/>
  <c r="CJ39" i="3"/>
  <c r="CK39" i="3"/>
  <c r="CL39" i="3"/>
  <c r="CM39" i="3"/>
  <c r="CN39" i="3"/>
  <c r="CO39" i="3"/>
  <c r="CP39" i="3"/>
  <c r="CQ39" i="3"/>
  <c r="CR39" i="3"/>
  <c r="B39" i="3"/>
  <c r="C36" i="3"/>
  <c r="D36" i="3"/>
  <c r="E36" i="3"/>
  <c r="F36" i="3"/>
  <c r="G36" i="3"/>
  <c r="H36" i="3"/>
  <c r="I36" i="3"/>
  <c r="J36" i="3"/>
  <c r="K36" i="3"/>
  <c r="L36" i="3"/>
  <c r="M36" i="3"/>
  <c r="N36" i="3"/>
  <c r="O36" i="3"/>
  <c r="P36" i="3"/>
  <c r="Q36" i="3"/>
  <c r="R36" i="3"/>
  <c r="S36" i="3"/>
  <c r="T36" i="3"/>
  <c r="U36" i="3"/>
  <c r="V36" i="3"/>
  <c r="W36" i="3"/>
  <c r="X36" i="3"/>
  <c r="Y36" i="3"/>
  <c r="Z36" i="3"/>
  <c r="AA36" i="3"/>
  <c r="AB36" i="3"/>
  <c r="AC36" i="3"/>
  <c r="AD36" i="3"/>
  <c r="AE36" i="3"/>
  <c r="AF36" i="3"/>
  <c r="AG36" i="3"/>
  <c r="AH36" i="3"/>
  <c r="AI36" i="3"/>
  <c r="AJ36" i="3"/>
  <c r="AK36" i="3"/>
  <c r="AL36" i="3"/>
  <c r="AM36" i="3"/>
  <c r="AN36" i="3"/>
  <c r="AO36" i="3"/>
  <c r="AP36" i="3"/>
  <c r="AQ36" i="3"/>
  <c r="AR36" i="3"/>
  <c r="AS36" i="3"/>
  <c r="AT36" i="3"/>
  <c r="AU36" i="3"/>
  <c r="AV36" i="3"/>
  <c r="AW36" i="3"/>
  <c r="AX36" i="3"/>
  <c r="AY36" i="3"/>
  <c r="AZ36" i="3"/>
  <c r="BA36" i="3"/>
  <c r="BB36" i="3"/>
  <c r="BC36" i="3"/>
  <c r="BD36" i="3"/>
  <c r="BE36" i="3"/>
  <c r="BF36" i="3"/>
  <c r="BG36" i="3"/>
  <c r="BH36" i="3"/>
  <c r="BI36" i="3"/>
  <c r="BJ36" i="3"/>
  <c r="BK36" i="3"/>
  <c r="BL36" i="3"/>
  <c r="BM36" i="3"/>
  <c r="BN36" i="3"/>
  <c r="BO36" i="3"/>
  <c r="BP36" i="3"/>
  <c r="BQ36" i="3"/>
  <c r="BR36" i="3"/>
  <c r="BS36" i="3"/>
  <c r="BT36" i="3"/>
  <c r="BU36" i="3"/>
  <c r="BV36" i="3"/>
  <c r="BW36" i="3"/>
  <c r="BX36" i="3"/>
  <c r="BY36" i="3"/>
  <c r="BZ36" i="3"/>
  <c r="CA36" i="3"/>
  <c r="CB36" i="3"/>
  <c r="CC36" i="3"/>
  <c r="CD36" i="3"/>
  <c r="CE36" i="3"/>
  <c r="CF36" i="3"/>
  <c r="CG36" i="3"/>
  <c r="CH36" i="3"/>
  <c r="CI36" i="3"/>
  <c r="CJ36" i="3"/>
  <c r="CK36" i="3"/>
  <c r="CL36" i="3"/>
  <c r="CM36" i="3"/>
  <c r="CN36" i="3"/>
  <c r="CO36" i="3"/>
  <c r="CP36" i="3"/>
  <c r="CQ36" i="3"/>
  <c r="CR36" i="3"/>
  <c r="B36" i="3"/>
  <c r="C35" i="3"/>
  <c r="D35" i="3"/>
  <c r="E35" i="3"/>
  <c r="F35" i="3"/>
  <c r="G35" i="3"/>
  <c r="H35" i="3"/>
  <c r="I35" i="3"/>
  <c r="J35" i="3"/>
  <c r="K35" i="3"/>
  <c r="L35" i="3"/>
  <c r="M35" i="3"/>
  <c r="N35" i="3"/>
  <c r="O35" i="3"/>
  <c r="P35" i="3"/>
  <c r="Q35" i="3"/>
  <c r="R35" i="3"/>
  <c r="S35" i="3"/>
  <c r="T35" i="3"/>
  <c r="U35" i="3"/>
  <c r="V35" i="3"/>
  <c r="W35" i="3"/>
  <c r="X35" i="3"/>
  <c r="Y35" i="3"/>
  <c r="Z35" i="3"/>
  <c r="AA35" i="3"/>
  <c r="AB35" i="3"/>
  <c r="AC35" i="3"/>
  <c r="AD35" i="3"/>
  <c r="AE35" i="3"/>
  <c r="AF35" i="3"/>
  <c r="AG35" i="3"/>
  <c r="AH35" i="3"/>
  <c r="AI35" i="3"/>
  <c r="AJ35" i="3"/>
  <c r="AK35" i="3"/>
  <c r="AL35" i="3"/>
  <c r="AM35" i="3"/>
  <c r="AN35" i="3"/>
  <c r="AO35" i="3"/>
  <c r="AP35" i="3"/>
  <c r="AQ35" i="3"/>
  <c r="AR35" i="3"/>
  <c r="AS35" i="3"/>
  <c r="AT35" i="3"/>
  <c r="AU35" i="3"/>
  <c r="AV35" i="3"/>
  <c r="AW35" i="3"/>
  <c r="AX35" i="3"/>
  <c r="AY35" i="3"/>
  <c r="AZ35" i="3"/>
  <c r="BA35" i="3"/>
  <c r="BB35" i="3"/>
  <c r="BC35" i="3"/>
  <c r="BD35" i="3"/>
  <c r="BE35" i="3"/>
  <c r="BF35" i="3"/>
  <c r="BG35" i="3"/>
  <c r="BH35" i="3"/>
  <c r="BI35" i="3"/>
  <c r="BJ35" i="3"/>
  <c r="BK35" i="3"/>
  <c r="BL35" i="3"/>
  <c r="BM35" i="3"/>
  <c r="BN35" i="3"/>
  <c r="BO35" i="3"/>
  <c r="BP35" i="3"/>
  <c r="BQ35" i="3"/>
  <c r="BR35" i="3"/>
  <c r="BS35" i="3"/>
  <c r="BT35" i="3"/>
  <c r="BU35" i="3"/>
  <c r="BV35" i="3"/>
  <c r="BW35" i="3"/>
  <c r="BX35" i="3"/>
  <c r="BY35" i="3"/>
  <c r="BZ35" i="3"/>
  <c r="CA35" i="3"/>
  <c r="CB35" i="3"/>
  <c r="CC35" i="3"/>
  <c r="CD35" i="3"/>
  <c r="CE35" i="3"/>
  <c r="CF35" i="3"/>
  <c r="CG35" i="3"/>
  <c r="CH35" i="3"/>
  <c r="CI35" i="3"/>
  <c r="CJ35" i="3"/>
  <c r="CK35" i="3"/>
  <c r="CL35" i="3"/>
  <c r="CM35" i="3"/>
  <c r="CN35" i="3"/>
  <c r="CO35" i="3"/>
  <c r="CP35" i="3"/>
  <c r="CQ35" i="3"/>
  <c r="CR35" i="3"/>
  <c r="B35" i="3"/>
  <c r="C31" i="3"/>
  <c r="D31" i="3"/>
  <c r="E31" i="3"/>
  <c r="F31" i="3"/>
  <c r="G31" i="3"/>
  <c r="H31" i="3"/>
  <c r="I31" i="3"/>
  <c r="J31" i="3"/>
  <c r="K31" i="3"/>
  <c r="L31" i="3"/>
  <c r="M31" i="3"/>
  <c r="N31" i="3"/>
  <c r="O31" i="3"/>
  <c r="P31" i="3"/>
  <c r="Q31" i="3"/>
  <c r="R31" i="3"/>
  <c r="S31" i="3"/>
  <c r="T31" i="3"/>
  <c r="U31" i="3"/>
  <c r="V31" i="3"/>
  <c r="W31" i="3"/>
  <c r="X31" i="3"/>
  <c r="Y31" i="3"/>
  <c r="Z31" i="3"/>
  <c r="AA31" i="3"/>
  <c r="AB31" i="3"/>
  <c r="AC31" i="3"/>
  <c r="AD31" i="3"/>
  <c r="AE31" i="3"/>
  <c r="AF31" i="3"/>
  <c r="AG31" i="3"/>
  <c r="AH31" i="3"/>
  <c r="AI31" i="3"/>
  <c r="AJ31" i="3"/>
  <c r="AK31" i="3"/>
  <c r="AL31" i="3"/>
  <c r="AM31" i="3"/>
  <c r="AN31" i="3"/>
  <c r="AO31" i="3"/>
  <c r="AP31" i="3"/>
  <c r="AQ31" i="3"/>
  <c r="AR31" i="3"/>
  <c r="AS31" i="3"/>
  <c r="AT31" i="3"/>
  <c r="AU31" i="3"/>
  <c r="AV31" i="3"/>
  <c r="AW31" i="3"/>
  <c r="AX31" i="3"/>
  <c r="AY31" i="3"/>
  <c r="AZ31" i="3"/>
  <c r="BA31" i="3"/>
  <c r="BB31" i="3"/>
  <c r="BC31" i="3"/>
  <c r="BD31" i="3"/>
  <c r="BE31" i="3"/>
  <c r="BF31" i="3"/>
  <c r="BG31" i="3"/>
  <c r="BH31" i="3"/>
  <c r="BI31" i="3"/>
  <c r="BJ31" i="3"/>
  <c r="BK31" i="3"/>
  <c r="BL31" i="3"/>
  <c r="BM31" i="3"/>
  <c r="BN31" i="3"/>
  <c r="BO31" i="3"/>
  <c r="BP31" i="3"/>
  <c r="BQ31" i="3"/>
  <c r="BR31" i="3"/>
  <c r="BS31" i="3"/>
  <c r="BT31" i="3"/>
  <c r="BU31" i="3"/>
  <c r="BV31" i="3"/>
  <c r="BW31" i="3"/>
  <c r="BX31" i="3"/>
  <c r="BY31" i="3"/>
  <c r="BZ31" i="3"/>
  <c r="CA31" i="3"/>
  <c r="CB31" i="3"/>
  <c r="CC31" i="3"/>
  <c r="CD31" i="3"/>
  <c r="CE31" i="3"/>
  <c r="CF31" i="3"/>
  <c r="CG31" i="3"/>
  <c r="CH31" i="3"/>
  <c r="CI31" i="3"/>
  <c r="CJ31" i="3"/>
  <c r="CK31" i="3"/>
  <c r="CL31" i="3"/>
  <c r="CM31" i="3"/>
  <c r="CN31" i="3"/>
  <c r="CO31" i="3"/>
  <c r="CP31" i="3"/>
  <c r="CQ31" i="3"/>
  <c r="CR31" i="3"/>
  <c r="B31" i="3"/>
  <c r="C30" i="3"/>
  <c r="D30" i="3"/>
  <c r="E30" i="3"/>
  <c r="F30" i="3"/>
  <c r="G30" i="3"/>
  <c r="H30" i="3"/>
  <c r="I30" i="3"/>
  <c r="J30" i="3"/>
  <c r="K30" i="3"/>
  <c r="L30" i="3"/>
  <c r="M30" i="3"/>
  <c r="N30" i="3"/>
  <c r="O30" i="3"/>
  <c r="P30" i="3"/>
  <c r="Q30" i="3"/>
  <c r="R30" i="3"/>
  <c r="S30" i="3"/>
  <c r="T30" i="3"/>
  <c r="U30" i="3"/>
  <c r="V30" i="3"/>
  <c r="W30" i="3"/>
  <c r="X30" i="3"/>
  <c r="Y30" i="3"/>
  <c r="Z30" i="3"/>
  <c r="AA30" i="3"/>
  <c r="AB30" i="3"/>
  <c r="AC30" i="3"/>
  <c r="AD30" i="3"/>
  <c r="AE30" i="3"/>
  <c r="AF30" i="3"/>
  <c r="AG30" i="3"/>
  <c r="AH30" i="3"/>
  <c r="AI30" i="3"/>
  <c r="AJ30" i="3"/>
  <c r="AK30" i="3"/>
  <c r="AL30" i="3"/>
  <c r="AM30" i="3"/>
  <c r="AN30" i="3"/>
  <c r="AO30" i="3"/>
  <c r="AP30" i="3"/>
  <c r="AQ30" i="3"/>
  <c r="AR30" i="3"/>
  <c r="AS30" i="3"/>
  <c r="AT30" i="3"/>
  <c r="AU30" i="3"/>
  <c r="AV30" i="3"/>
  <c r="AW30" i="3"/>
  <c r="AX30" i="3"/>
  <c r="AY30" i="3"/>
  <c r="AZ30" i="3"/>
  <c r="BA30" i="3"/>
  <c r="BB30" i="3"/>
  <c r="BC30" i="3"/>
  <c r="BD30" i="3"/>
  <c r="BE30" i="3"/>
  <c r="BF30" i="3"/>
  <c r="BG30" i="3"/>
  <c r="BH30" i="3"/>
  <c r="BI30" i="3"/>
  <c r="BJ30" i="3"/>
  <c r="BK30" i="3"/>
  <c r="BL30" i="3"/>
  <c r="BM30" i="3"/>
  <c r="BN30" i="3"/>
  <c r="BO30" i="3"/>
  <c r="BP30" i="3"/>
  <c r="BQ30" i="3"/>
  <c r="BR30" i="3"/>
  <c r="BS30" i="3"/>
  <c r="BT30" i="3"/>
  <c r="BU30" i="3"/>
  <c r="BV30" i="3"/>
  <c r="BW30" i="3"/>
  <c r="BX30" i="3"/>
  <c r="BY30" i="3"/>
  <c r="BZ30" i="3"/>
  <c r="CA30" i="3"/>
  <c r="CB30" i="3"/>
  <c r="CC30" i="3"/>
  <c r="CD30" i="3"/>
  <c r="CE30" i="3"/>
  <c r="CF30" i="3"/>
  <c r="CG30" i="3"/>
  <c r="CH30" i="3"/>
  <c r="CI30" i="3"/>
  <c r="CJ30" i="3"/>
  <c r="CK30" i="3"/>
  <c r="CL30" i="3"/>
  <c r="CM30" i="3"/>
  <c r="CN30" i="3"/>
  <c r="CO30" i="3"/>
  <c r="CP30" i="3"/>
  <c r="CQ30" i="3"/>
  <c r="CR30" i="3"/>
  <c r="B30" i="3"/>
  <c r="C25" i="3"/>
  <c r="D25" i="3"/>
  <c r="E25" i="3"/>
  <c r="F25" i="3"/>
  <c r="G25" i="3"/>
  <c r="H25" i="3"/>
  <c r="I25" i="3"/>
  <c r="J25" i="3"/>
  <c r="K25" i="3"/>
  <c r="L25" i="3"/>
  <c r="M25" i="3"/>
  <c r="N25" i="3"/>
  <c r="O25" i="3"/>
  <c r="P25" i="3"/>
  <c r="Q25" i="3"/>
  <c r="R25" i="3"/>
  <c r="S25" i="3"/>
  <c r="T25" i="3"/>
  <c r="U25" i="3"/>
  <c r="V25" i="3"/>
  <c r="W25" i="3"/>
  <c r="X25" i="3"/>
  <c r="Y25" i="3"/>
  <c r="Z25" i="3"/>
  <c r="AA25" i="3"/>
  <c r="AB25" i="3"/>
  <c r="AC25" i="3"/>
  <c r="AD25" i="3"/>
  <c r="AE25" i="3"/>
  <c r="AF25" i="3"/>
  <c r="AG25" i="3"/>
  <c r="AH25" i="3"/>
  <c r="AI25" i="3"/>
  <c r="AJ25" i="3"/>
  <c r="AK25" i="3"/>
  <c r="AL25" i="3"/>
  <c r="AM25" i="3"/>
  <c r="AN25" i="3"/>
  <c r="AO25" i="3"/>
  <c r="AP25" i="3"/>
  <c r="AQ25" i="3"/>
  <c r="AR25" i="3"/>
  <c r="AS25" i="3"/>
  <c r="AT25" i="3"/>
  <c r="AU25" i="3"/>
  <c r="AV25" i="3"/>
  <c r="AW25" i="3"/>
  <c r="AX25" i="3"/>
  <c r="AY25" i="3"/>
  <c r="AZ25" i="3"/>
  <c r="BA25" i="3"/>
  <c r="BB25" i="3"/>
  <c r="BC25" i="3"/>
  <c r="BD25" i="3"/>
  <c r="BE25" i="3"/>
  <c r="BF25" i="3"/>
  <c r="BG25" i="3"/>
  <c r="BH25" i="3"/>
  <c r="BI25" i="3"/>
  <c r="BJ25" i="3"/>
  <c r="BK25" i="3"/>
  <c r="BL25" i="3"/>
  <c r="BM25" i="3"/>
  <c r="BN25" i="3"/>
  <c r="BO25" i="3"/>
  <c r="BP25" i="3"/>
  <c r="BQ25" i="3"/>
  <c r="BR25" i="3"/>
  <c r="BS25" i="3"/>
  <c r="BT25" i="3"/>
  <c r="BU25" i="3"/>
  <c r="BV25" i="3"/>
  <c r="BW25" i="3"/>
  <c r="BX25" i="3"/>
  <c r="BY25" i="3"/>
  <c r="BZ25" i="3"/>
  <c r="CA25" i="3"/>
  <c r="CB25" i="3"/>
  <c r="CC25" i="3"/>
  <c r="CD25" i="3"/>
  <c r="CE25" i="3"/>
  <c r="CF25" i="3"/>
  <c r="CG25" i="3"/>
  <c r="CH25" i="3"/>
  <c r="CI25" i="3"/>
  <c r="CJ25" i="3"/>
  <c r="CK25" i="3"/>
  <c r="CL25" i="3"/>
  <c r="CM25" i="3"/>
  <c r="CN25" i="3"/>
  <c r="CO25" i="3"/>
  <c r="CP25" i="3"/>
  <c r="CQ25" i="3"/>
  <c r="CR25" i="3"/>
  <c r="B25" i="3"/>
  <c r="C22" i="3"/>
  <c r="D22" i="3"/>
  <c r="E22" i="3"/>
  <c r="F22" i="3"/>
  <c r="G22" i="3"/>
  <c r="H22" i="3"/>
  <c r="I22" i="3"/>
  <c r="J22" i="3"/>
  <c r="K22" i="3"/>
  <c r="L22" i="3"/>
  <c r="M22" i="3"/>
  <c r="N22" i="3"/>
  <c r="O22" i="3"/>
  <c r="P22" i="3"/>
  <c r="Q22" i="3"/>
  <c r="R22" i="3"/>
  <c r="S22" i="3"/>
  <c r="T22" i="3"/>
  <c r="U22" i="3"/>
  <c r="V22" i="3"/>
  <c r="W22" i="3"/>
  <c r="X22" i="3"/>
  <c r="Y22" i="3"/>
  <c r="Z22" i="3"/>
  <c r="AA22" i="3"/>
  <c r="AB22" i="3"/>
  <c r="AC22" i="3"/>
  <c r="AD22" i="3"/>
  <c r="AE22" i="3"/>
  <c r="AF22" i="3"/>
  <c r="AG22" i="3"/>
  <c r="AH22" i="3"/>
  <c r="AI22" i="3"/>
  <c r="AJ22" i="3"/>
  <c r="AK22" i="3"/>
  <c r="AL22" i="3"/>
  <c r="AM22" i="3"/>
  <c r="AN22" i="3"/>
  <c r="AO22" i="3"/>
  <c r="AP22" i="3"/>
  <c r="AQ22" i="3"/>
  <c r="AR22" i="3"/>
  <c r="AS22" i="3"/>
  <c r="AT22" i="3"/>
  <c r="AU22" i="3"/>
  <c r="AV22" i="3"/>
  <c r="AW22" i="3"/>
  <c r="AX22" i="3"/>
  <c r="AY22" i="3"/>
  <c r="AZ22" i="3"/>
  <c r="BA22" i="3"/>
  <c r="BB22" i="3"/>
  <c r="BC22" i="3"/>
  <c r="BD22" i="3"/>
  <c r="BE22" i="3"/>
  <c r="BF22" i="3"/>
  <c r="BG22" i="3"/>
  <c r="BH22" i="3"/>
  <c r="BI22" i="3"/>
  <c r="BJ22" i="3"/>
  <c r="BK22" i="3"/>
  <c r="BL22" i="3"/>
  <c r="BM22" i="3"/>
  <c r="BN22" i="3"/>
  <c r="BO22" i="3"/>
  <c r="BP22" i="3"/>
  <c r="BQ22" i="3"/>
  <c r="BR22" i="3"/>
  <c r="BS22" i="3"/>
  <c r="BT22" i="3"/>
  <c r="BU22" i="3"/>
  <c r="BV22" i="3"/>
  <c r="BW22" i="3"/>
  <c r="BX22" i="3"/>
  <c r="BY22" i="3"/>
  <c r="BZ22" i="3"/>
  <c r="CA22" i="3"/>
  <c r="CB22" i="3"/>
  <c r="CC22" i="3"/>
  <c r="CD22" i="3"/>
  <c r="CE22" i="3"/>
  <c r="CF22" i="3"/>
  <c r="CG22" i="3"/>
  <c r="CH22" i="3"/>
  <c r="CI22" i="3"/>
  <c r="CJ22" i="3"/>
  <c r="CK22" i="3"/>
  <c r="CL22" i="3"/>
  <c r="CM22" i="3"/>
  <c r="CN22" i="3"/>
  <c r="CO22" i="3"/>
  <c r="CP22" i="3"/>
  <c r="CQ22" i="3"/>
  <c r="CR22" i="3"/>
  <c r="B22" i="3"/>
  <c r="C21" i="3"/>
  <c r="D21" i="3"/>
  <c r="E21" i="3"/>
  <c r="F21" i="3"/>
  <c r="G21" i="3"/>
  <c r="H21" i="3"/>
  <c r="I21" i="3"/>
  <c r="J21" i="3"/>
  <c r="K21" i="3"/>
  <c r="L21" i="3"/>
  <c r="M21" i="3"/>
  <c r="N21" i="3"/>
  <c r="O21" i="3"/>
  <c r="P21" i="3"/>
  <c r="Q21" i="3"/>
  <c r="R21" i="3"/>
  <c r="S21" i="3"/>
  <c r="T21" i="3"/>
  <c r="U21" i="3"/>
  <c r="V21" i="3"/>
  <c r="W21" i="3"/>
  <c r="X21" i="3"/>
  <c r="Y21" i="3"/>
  <c r="Z21" i="3"/>
  <c r="AA21" i="3"/>
  <c r="AB21" i="3"/>
  <c r="AC21" i="3"/>
  <c r="AD21" i="3"/>
  <c r="AE21" i="3"/>
  <c r="AF21" i="3"/>
  <c r="AG21" i="3"/>
  <c r="AH21" i="3"/>
  <c r="AI21" i="3"/>
  <c r="AJ21" i="3"/>
  <c r="AK21" i="3"/>
  <c r="AL21" i="3"/>
  <c r="AM21" i="3"/>
  <c r="AN21" i="3"/>
  <c r="AO21" i="3"/>
  <c r="AP21" i="3"/>
  <c r="AQ21" i="3"/>
  <c r="AR21" i="3"/>
  <c r="AS21" i="3"/>
  <c r="AT21" i="3"/>
  <c r="AU21" i="3"/>
  <c r="AV21" i="3"/>
  <c r="AW21" i="3"/>
  <c r="AX21" i="3"/>
  <c r="AY21" i="3"/>
  <c r="AZ21" i="3"/>
  <c r="BA21" i="3"/>
  <c r="BB21" i="3"/>
  <c r="BC21" i="3"/>
  <c r="BD21" i="3"/>
  <c r="BE21" i="3"/>
  <c r="BF21" i="3"/>
  <c r="BG21" i="3"/>
  <c r="BH21" i="3"/>
  <c r="BI21" i="3"/>
  <c r="BJ21" i="3"/>
  <c r="BK21" i="3"/>
  <c r="BL21" i="3"/>
  <c r="BM21" i="3"/>
  <c r="BN21" i="3"/>
  <c r="BO21" i="3"/>
  <c r="BP21" i="3"/>
  <c r="BQ21" i="3"/>
  <c r="BR21" i="3"/>
  <c r="BS21" i="3"/>
  <c r="BT21" i="3"/>
  <c r="BU21" i="3"/>
  <c r="BV21" i="3"/>
  <c r="BW21" i="3"/>
  <c r="BX21" i="3"/>
  <c r="BY21" i="3"/>
  <c r="BZ21" i="3"/>
  <c r="CA21" i="3"/>
  <c r="CB21" i="3"/>
  <c r="CC21" i="3"/>
  <c r="CD21" i="3"/>
  <c r="CE21" i="3"/>
  <c r="CF21" i="3"/>
  <c r="CG21" i="3"/>
  <c r="CH21" i="3"/>
  <c r="CI21" i="3"/>
  <c r="CJ21" i="3"/>
  <c r="CK21" i="3"/>
  <c r="CL21" i="3"/>
  <c r="CM21" i="3"/>
  <c r="CN21" i="3"/>
  <c r="CO21" i="3"/>
  <c r="CP21" i="3"/>
  <c r="CQ21" i="3"/>
  <c r="CR21" i="3"/>
  <c r="B21" i="3"/>
  <c r="C17" i="3"/>
  <c r="D17" i="3"/>
  <c r="E17" i="3"/>
  <c r="F17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J17" i="3"/>
  <c r="AK17" i="3"/>
  <c r="AL17" i="3"/>
  <c r="AM17" i="3"/>
  <c r="AN17" i="3"/>
  <c r="AO17" i="3"/>
  <c r="AP17" i="3"/>
  <c r="AQ17" i="3"/>
  <c r="AR17" i="3"/>
  <c r="AS17" i="3"/>
  <c r="AT17" i="3"/>
  <c r="AU17" i="3"/>
  <c r="AV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BM17" i="3"/>
  <c r="BN17" i="3"/>
  <c r="BO17" i="3"/>
  <c r="BP17" i="3"/>
  <c r="BQ17" i="3"/>
  <c r="BR17" i="3"/>
  <c r="BS17" i="3"/>
  <c r="BT17" i="3"/>
  <c r="BU17" i="3"/>
  <c r="BV17" i="3"/>
  <c r="BW17" i="3"/>
  <c r="BX17" i="3"/>
  <c r="BY17" i="3"/>
  <c r="BZ17" i="3"/>
  <c r="CA17" i="3"/>
  <c r="CB17" i="3"/>
  <c r="CC17" i="3"/>
  <c r="CD17" i="3"/>
  <c r="CE17" i="3"/>
  <c r="CF17" i="3"/>
  <c r="CG17" i="3"/>
  <c r="CH17" i="3"/>
  <c r="CI17" i="3"/>
  <c r="CJ17" i="3"/>
  <c r="CK17" i="3"/>
  <c r="CL17" i="3"/>
  <c r="CM17" i="3"/>
  <c r="CN17" i="3"/>
  <c r="CO17" i="3"/>
  <c r="CP17" i="3"/>
  <c r="CQ17" i="3"/>
  <c r="CR17" i="3"/>
  <c r="B17" i="3"/>
  <c r="C13" i="3"/>
  <c r="D13" i="3"/>
  <c r="E13" i="3"/>
  <c r="F13" i="3"/>
  <c r="G13" i="3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V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BM13" i="3"/>
  <c r="BN13" i="3"/>
  <c r="BO13" i="3"/>
  <c r="BP13" i="3"/>
  <c r="BQ13" i="3"/>
  <c r="BR13" i="3"/>
  <c r="BS13" i="3"/>
  <c r="BT13" i="3"/>
  <c r="BU13" i="3"/>
  <c r="BV13" i="3"/>
  <c r="BW13" i="3"/>
  <c r="BX13" i="3"/>
  <c r="BY13" i="3"/>
  <c r="BZ13" i="3"/>
  <c r="CA13" i="3"/>
  <c r="CB13" i="3"/>
  <c r="CC13" i="3"/>
  <c r="CD13" i="3"/>
  <c r="CE13" i="3"/>
  <c r="CF13" i="3"/>
  <c r="CG13" i="3"/>
  <c r="CH13" i="3"/>
  <c r="CI13" i="3"/>
  <c r="CJ13" i="3"/>
  <c r="CK13" i="3"/>
  <c r="CL13" i="3"/>
  <c r="CM13" i="3"/>
  <c r="CN13" i="3"/>
  <c r="CO13" i="3"/>
  <c r="CP13" i="3"/>
  <c r="CQ13" i="3"/>
  <c r="CR13" i="3"/>
  <c r="B13" i="3"/>
  <c r="C11" i="3"/>
  <c r="D11" i="3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AA11" i="3"/>
  <c r="AB11" i="3"/>
  <c r="AC11" i="3"/>
  <c r="AD11" i="3"/>
  <c r="AE11" i="3"/>
  <c r="AF11" i="3"/>
  <c r="AG11" i="3"/>
  <c r="AH11" i="3"/>
  <c r="AI11" i="3"/>
  <c r="AJ11" i="3"/>
  <c r="AK11" i="3"/>
  <c r="AL11" i="3"/>
  <c r="AM11" i="3"/>
  <c r="AN11" i="3"/>
  <c r="AO11" i="3"/>
  <c r="AP11" i="3"/>
  <c r="AQ11" i="3"/>
  <c r="AR11" i="3"/>
  <c r="AS11" i="3"/>
  <c r="AT11" i="3"/>
  <c r="AU11" i="3"/>
  <c r="AV11" i="3"/>
  <c r="AW11" i="3"/>
  <c r="AX11" i="3"/>
  <c r="AY11" i="3"/>
  <c r="AZ11" i="3"/>
  <c r="BA11" i="3"/>
  <c r="BB11" i="3"/>
  <c r="BC11" i="3"/>
  <c r="BD11" i="3"/>
  <c r="BE11" i="3"/>
  <c r="BF11" i="3"/>
  <c r="BG11" i="3"/>
  <c r="BH11" i="3"/>
  <c r="BI11" i="3"/>
  <c r="BJ11" i="3"/>
  <c r="BK11" i="3"/>
  <c r="BL11" i="3"/>
  <c r="BM11" i="3"/>
  <c r="BN11" i="3"/>
  <c r="BO11" i="3"/>
  <c r="BP11" i="3"/>
  <c r="BQ11" i="3"/>
  <c r="BR11" i="3"/>
  <c r="BS11" i="3"/>
  <c r="BT11" i="3"/>
  <c r="BU11" i="3"/>
  <c r="BV11" i="3"/>
  <c r="BW11" i="3"/>
  <c r="BX11" i="3"/>
  <c r="BY11" i="3"/>
  <c r="BZ11" i="3"/>
  <c r="CA11" i="3"/>
  <c r="CB11" i="3"/>
  <c r="CC11" i="3"/>
  <c r="CD11" i="3"/>
  <c r="CE11" i="3"/>
  <c r="CF11" i="3"/>
  <c r="CG11" i="3"/>
  <c r="CH11" i="3"/>
  <c r="CI11" i="3"/>
  <c r="CJ11" i="3"/>
  <c r="CK11" i="3"/>
  <c r="CL11" i="3"/>
  <c r="CM11" i="3"/>
  <c r="CN11" i="3"/>
  <c r="CO11" i="3"/>
  <c r="CP11" i="3"/>
  <c r="CQ11" i="3"/>
  <c r="CR11" i="3"/>
  <c r="B11" i="3"/>
  <c r="C8" i="3"/>
  <c r="D8" i="3"/>
  <c r="E8" i="3"/>
  <c r="F8" i="3"/>
  <c r="G8" i="3"/>
  <c r="H8" i="3"/>
  <c r="I8" i="3"/>
  <c r="J8" i="3"/>
  <c r="K8" i="3"/>
  <c r="L8" i="3"/>
  <c r="M8" i="3"/>
  <c r="N8" i="3"/>
  <c r="O8" i="3"/>
  <c r="P8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AF8" i="3"/>
  <c r="AG8" i="3"/>
  <c r="AH8" i="3"/>
  <c r="AI8" i="3"/>
  <c r="AJ8" i="3"/>
  <c r="AK8" i="3"/>
  <c r="AL8" i="3"/>
  <c r="AM8" i="3"/>
  <c r="AN8" i="3"/>
  <c r="AO8" i="3"/>
  <c r="AP8" i="3"/>
  <c r="AQ8" i="3"/>
  <c r="AR8" i="3"/>
  <c r="AS8" i="3"/>
  <c r="AT8" i="3"/>
  <c r="AU8" i="3"/>
  <c r="AV8" i="3"/>
  <c r="AW8" i="3"/>
  <c r="AX8" i="3"/>
  <c r="AY8" i="3"/>
  <c r="AZ8" i="3"/>
  <c r="BA8" i="3"/>
  <c r="BB8" i="3"/>
  <c r="BC8" i="3"/>
  <c r="BD8" i="3"/>
  <c r="BE8" i="3"/>
  <c r="BF8" i="3"/>
  <c r="BG8" i="3"/>
  <c r="BH8" i="3"/>
  <c r="BI8" i="3"/>
  <c r="BJ8" i="3"/>
  <c r="BK8" i="3"/>
  <c r="BL8" i="3"/>
  <c r="BM8" i="3"/>
  <c r="BN8" i="3"/>
  <c r="BO8" i="3"/>
  <c r="BP8" i="3"/>
  <c r="BQ8" i="3"/>
  <c r="BR8" i="3"/>
  <c r="BS8" i="3"/>
  <c r="BT8" i="3"/>
  <c r="BU8" i="3"/>
  <c r="BV8" i="3"/>
  <c r="BW8" i="3"/>
  <c r="BX8" i="3"/>
  <c r="BY8" i="3"/>
  <c r="BZ8" i="3"/>
  <c r="CA8" i="3"/>
  <c r="CB8" i="3"/>
  <c r="CC8" i="3"/>
  <c r="CD8" i="3"/>
  <c r="CE8" i="3"/>
  <c r="CF8" i="3"/>
  <c r="CG8" i="3"/>
  <c r="CH8" i="3"/>
  <c r="CI8" i="3"/>
  <c r="CJ8" i="3"/>
  <c r="CK8" i="3"/>
  <c r="CL8" i="3"/>
  <c r="CM8" i="3"/>
  <c r="CN8" i="3"/>
  <c r="CO8" i="3"/>
  <c r="CP8" i="3"/>
  <c r="CQ8" i="3"/>
  <c r="CR8" i="3"/>
  <c r="B8" i="3"/>
  <c r="C6" i="3"/>
  <c r="D6" i="3"/>
  <c r="E6" i="3"/>
  <c r="F6" i="3"/>
  <c r="G6" i="3"/>
  <c r="H6" i="3"/>
  <c r="I6" i="3"/>
  <c r="J6" i="3"/>
  <c r="K6" i="3"/>
  <c r="L6" i="3"/>
  <c r="M6" i="3"/>
  <c r="N6" i="3"/>
  <c r="O6" i="3"/>
  <c r="P6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AF6" i="3"/>
  <c r="AG6" i="3"/>
  <c r="AH6" i="3"/>
  <c r="AI6" i="3"/>
  <c r="AJ6" i="3"/>
  <c r="AK6" i="3"/>
  <c r="AL6" i="3"/>
  <c r="AM6" i="3"/>
  <c r="AN6" i="3"/>
  <c r="AO6" i="3"/>
  <c r="AP6" i="3"/>
  <c r="AQ6" i="3"/>
  <c r="AR6" i="3"/>
  <c r="AS6" i="3"/>
  <c r="AT6" i="3"/>
  <c r="AU6" i="3"/>
  <c r="AV6" i="3"/>
  <c r="AW6" i="3"/>
  <c r="AX6" i="3"/>
  <c r="AY6" i="3"/>
  <c r="AZ6" i="3"/>
  <c r="BA6" i="3"/>
  <c r="BB6" i="3"/>
  <c r="BC6" i="3"/>
  <c r="BD6" i="3"/>
  <c r="BE6" i="3"/>
  <c r="BF6" i="3"/>
  <c r="BG6" i="3"/>
  <c r="BH6" i="3"/>
  <c r="BI6" i="3"/>
  <c r="BJ6" i="3"/>
  <c r="BK6" i="3"/>
  <c r="BL6" i="3"/>
  <c r="BM6" i="3"/>
  <c r="BN6" i="3"/>
  <c r="BO6" i="3"/>
  <c r="BP6" i="3"/>
  <c r="BQ6" i="3"/>
  <c r="BR6" i="3"/>
  <c r="BS6" i="3"/>
  <c r="BT6" i="3"/>
  <c r="BU6" i="3"/>
  <c r="BV6" i="3"/>
  <c r="BW6" i="3"/>
  <c r="BX6" i="3"/>
  <c r="BY6" i="3"/>
  <c r="BZ6" i="3"/>
  <c r="CA6" i="3"/>
  <c r="CB6" i="3"/>
  <c r="CC6" i="3"/>
  <c r="CD6" i="3"/>
  <c r="CE6" i="3"/>
  <c r="CF6" i="3"/>
  <c r="CG6" i="3"/>
  <c r="CH6" i="3"/>
  <c r="CI6" i="3"/>
  <c r="CJ6" i="3"/>
  <c r="CK6" i="3"/>
  <c r="CL6" i="3"/>
  <c r="CM6" i="3"/>
  <c r="CN6" i="3"/>
  <c r="CO6" i="3"/>
  <c r="CP6" i="3"/>
  <c r="CQ6" i="3"/>
  <c r="CR6" i="3"/>
  <c r="C5" i="3"/>
  <c r="D5" i="3"/>
  <c r="E5" i="3"/>
  <c r="F5" i="3"/>
  <c r="G5" i="3"/>
  <c r="H5" i="3"/>
  <c r="I5" i="3"/>
  <c r="J5" i="3"/>
  <c r="K5" i="3"/>
  <c r="L5" i="3"/>
  <c r="M5" i="3"/>
  <c r="N5" i="3"/>
  <c r="O5" i="3"/>
  <c r="P5" i="3"/>
  <c r="Q5" i="3"/>
  <c r="R5" i="3"/>
  <c r="S5" i="3"/>
  <c r="T5" i="3"/>
  <c r="U5" i="3"/>
  <c r="V5" i="3"/>
  <c r="W5" i="3"/>
  <c r="X5" i="3"/>
  <c r="Y5" i="3"/>
  <c r="Z5" i="3"/>
  <c r="AA5" i="3"/>
  <c r="AB5" i="3"/>
  <c r="AC5" i="3"/>
  <c r="AD5" i="3"/>
  <c r="AE5" i="3"/>
  <c r="AF5" i="3"/>
  <c r="AG5" i="3"/>
  <c r="AH5" i="3"/>
  <c r="AI5" i="3"/>
  <c r="AJ5" i="3"/>
  <c r="AK5" i="3"/>
  <c r="AL5" i="3"/>
  <c r="AM5" i="3"/>
  <c r="AN5" i="3"/>
  <c r="AO5" i="3"/>
  <c r="AP5" i="3"/>
  <c r="AQ5" i="3"/>
  <c r="AR5" i="3"/>
  <c r="AS5" i="3"/>
  <c r="AT5" i="3"/>
  <c r="AU5" i="3"/>
  <c r="AV5" i="3"/>
  <c r="AW5" i="3"/>
  <c r="AX5" i="3"/>
  <c r="AY5" i="3"/>
  <c r="AZ5" i="3"/>
  <c r="BA5" i="3"/>
  <c r="BB5" i="3"/>
  <c r="BC5" i="3"/>
  <c r="BD5" i="3"/>
  <c r="BE5" i="3"/>
  <c r="BF5" i="3"/>
  <c r="BG5" i="3"/>
  <c r="BH5" i="3"/>
  <c r="BI5" i="3"/>
  <c r="BJ5" i="3"/>
  <c r="BK5" i="3"/>
  <c r="BL5" i="3"/>
  <c r="BM5" i="3"/>
  <c r="BN5" i="3"/>
  <c r="BO5" i="3"/>
  <c r="BP5" i="3"/>
  <c r="BQ5" i="3"/>
  <c r="BR5" i="3"/>
  <c r="BS5" i="3"/>
  <c r="BT5" i="3"/>
  <c r="BU5" i="3"/>
  <c r="BV5" i="3"/>
  <c r="BW5" i="3"/>
  <c r="BX5" i="3"/>
  <c r="BY5" i="3"/>
  <c r="BZ5" i="3"/>
  <c r="CA5" i="3"/>
  <c r="CB5" i="3"/>
  <c r="CC5" i="3"/>
  <c r="CD5" i="3"/>
  <c r="CE5" i="3"/>
  <c r="CF5" i="3"/>
  <c r="CG5" i="3"/>
  <c r="CH5" i="3"/>
  <c r="CI5" i="3"/>
  <c r="CJ5" i="3"/>
  <c r="CK5" i="3"/>
  <c r="CL5" i="3"/>
  <c r="CM5" i="3"/>
  <c r="CN5" i="3"/>
  <c r="CO5" i="3"/>
  <c r="CP5" i="3"/>
  <c r="CQ5" i="3"/>
  <c r="CR5" i="3"/>
  <c r="B6" i="3"/>
  <c r="B5" i="3"/>
  <c r="E5" i="1"/>
  <c r="D5" i="1"/>
  <c r="C5" i="1"/>
  <c r="B5" i="1"/>
</calcChain>
</file>

<file path=xl/sharedStrings.xml><?xml version="1.0" encoding="utf-8"?>
<sst xmlns="http://schemas.openxmlformats.org/spreadsheetml/2006/main" count="160" uniqueCount="114">
  <si>
    <t>M 65-74</t>
  </si>
  <si>
    <t>M 75+</t>
  </si>
  <si>
    <t>H 75+</t>
  </si>
  <si>
    <t>H 65-74</t>
  </si>
  <si>
    <t>Kcal</t>
  </si>
  <si>
    <t>Leche (ml)</t>
  </si>
  <si>
    <t>Yogur natural o saborizado</t>
  </si>
  <si>
    <t>Quesos (g)</t>
  </si>
  <si>
    <t>Huevos (g)</t>
  </si>
  <si>
    <t>Huevos de gallina</t>
  </si>
  <si>
    <t>Carnes (g)</t>
  </si>
  <si>
    <t>Pollo entero</t>
  </si>
  <si>
    <t>Pollo trozado</t>
  </si>
  <si>
    <t>Asado</t>
  </si>
  <si>
    <t>Carne picada</t>
  </si>
  <si>
    <t>Hueso con carne</t>
  </si>
  <si>
    <t>Merluza</t>
  </si>
  <si>
    <t>Supremas de pollo rebozadas</t>
  </si>
  <si>
    <t>Cuadril</t>
  </si>
  <si>
    <t>Nalga</t>
  </si>
  <si>
    <t>Paleta</t>
  </si>
  <si>
    <t>Vacío</t>
  </si>
  <si>
    <t>Vegetal A (g)</t>
  </si>
  <si>
    <t>Tomate redondo fresco</t>
  </si>
  <si>
    <t>Tomates en conserva</t>
  </si>
  <si>
    <t>Lechuga fresca</t>
  </si>
  <si>
    <t>Acelga fresca</t>
  </si>
  <si>
    <t>Zapallitos frescos</t>
  </si>
  <si>
    <t>Cebolla común fresca</t>
  </si>
  <si>
    <t>Vegetal B (g)</t>
  </si>
  <si>
    <t>Zapallo fresco</t>
  </si>
  <si>
    <t>Zanahoria fresca</t>
  </si>
  <si>
    <t>Vegetal C (g)</t>
  </si>
  <si>
    <t>Papa fresca</t>
  </si>
  <si>
    <t>Frutas (g)</t>
  </si>
  <si>
    <t>Naranja</t>
  </si>
  <si>
    <t>Banana</t>
  </si>
  <si>
    <t>Manzana</t>
  </si>
  <si>
    <t>Mandarina</t>
  </si>
  <si>
    <t>Pera</t>
  </si>
  <si>
    <t>Cereales (g)</t>
  </si>
  <si>
    <t>Fideos secos</t>
  </si>
  <si>
    <t>Arroz blanco</t>
  </si>
  <si>
    <t>Harina de trigo</t>
  </si>
  <si>
    <t>Ravioles frescos</t>
  </si>
  <si>
    <t>Harina de maíz</t>
  </si>
  <si>
    <t>Pan (g)</t>
  </si>
  <si>
    <t>Tipo francés fresco en piezas</t>
  </si>
  <si>
    <t>Queso doble crema</t>
  </si>
  <si>
    <t>Queso por salut</t>
  </si>
  <si>
    <t>Queso crema para untar</t>
  </si>
  <si>
    <t>Azúcar (g)</t>
  </si>
  <si>
    <t>Azúcar</t>
  </si>
  <si>
    <t>Edulcorante</t>
  </si>
  <si>
    <t>Mermeladas (g)</t>
  </si>
  <si>
    <t>Mermeladas, otros dulces y jaleas</t>
  </si>
  <si>
    <t>Dulce de leche</t>
  </si>
  <si>
    <t>Dulce de membrillo</t>
  </si>
  <si>
    <t>Aceites (ml)</t>
  </si>
  <si>
    <t>Aceites de girasol</t>
  </si>
  <si>
    <t>Aceite mezcla</t>
  </si>
  <si>
    <t>Infusiones (ml)</t>
  </si>
  <si>
    <t>Yerba mate</t>
  </si>
  <si>
    <t>Leche común descremada</t>
  </si>
  <si>
    <t>producto</t>
  </si>
  <si>
    <t>M_75_mas</t>
  </si>
  <si>
    <t>H_65_74</t>
  </si>
  <si>
    <t>M_65_74</t>
  </si>
  <si>
    <t>H_75_mas</t>
  </si>
  <si>
    <t>leche</t>
  </si>
  <si>
    <t>yogur</t>
  </si>
  <si>
    <t>queso_cremoso</t>
  </si>
  <si>
    <t>queso_por_salut</t>
  </si>
  <si>
    <t>queso_crema_untable</t>
  </si>
  <si>
    <t>pollo_entero</t>
  </si>
  <si>
    <t>pollo_trozado</t>
  </si>
  <si>
    <t>asado</t>
  </si>
  <si>
    <t>carne_picada</t>
  </si>
  <si>
    <t>hueso_carne</t>
  </si>
  <si>
    <t>merluza</t>
  </si>
  <si>
    <t>supremas_rebozadas</t>
  </si>
  <si>
    <t>cuadril</t>
  </si>
  <si>
    <t>nalga</t>
  </si>
  <si>
    <t>paleta</t>
  </si>
  <si>
    <t>vacio</t>
  </si>
  <si>
    <t>tomate_fresco</t>
  </si>
  <si>
    <t>tomate_conserva</t>
  </si>
  <si>
    <t>lechuga</t>
  </si>
  <si>
    <t>acelga</t>
  </si>
  <si>
    <t>zapallitos</t>
  </si>
  <si>
    <t>cebolla</t>
  </si>
  <si>
    <t>zapallo</t>
  </si>
  <si>
    <t>zanahoria</t>
  </si>
  <si>
    <t>papa</t>
  </si>
  <si>
    <t>naranja</t>
  </si>
  <si>
    <t>banana</t>
  </si>
  <si>
    <t>manzana</t>
  </si>
  <si>
    <t>mandarina</t>
  </si>
  <si>
    <t>pera</t>
  </si>
  <si>
    <t>fideos</t>
  </si>
  <si>
    <t>arroz</t>
  </si>
  <si>
    <t>harina_trigo</t>
  </si>
  <si>
    <t>ravioles</t>
  </si>
  <si>
    <t>harina_maiz</t>
  </si>
  <si>
    <t>pan</t>
  </si>
  <si>
    <t>azucar</t>
  </si>
  <si>
    <t>edulcorante</t>
  </si>
  <si>
    <t>mermeladas</t>
  </si>
  <si>
    <t>dulce_de_leche</t>
  </si>
  <si>
    <t>dulce_de_membrillo</t>
  </si>
  <si>
    <t>aceite_girasol</t>
  </si>
  <si>
    <t>aceite_mezcla</t>
  </si>
  <si>
    <t>yerba</t>
  </si>
  <si>
    <t>huevos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</si>
</sst>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rial"/>
      <family val="2"/>
    </font>
    <font>
      <sz val="8"/>
      <color rgb="FF000000"/>
      <name val="Arial"/>
      <family val="2"/>
    </font>
    <font>
      <sz val="8"/>
      <color indexed="8"/>
      <name val="HelveticaNeueLT St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9" fontId="0" fillId="0" borderId="0" xfId="0" applyNumberFormat="1"/>
    <xf numFmtId="14" fontId="1" fillId="0" borderId="0" xfId="0" applyNumberFormat="1" applyFont="1" applyAlignment="1">
      <alignment horizontal="center" vertical="center" wrapText="1"/>
    </xf>
    <xf numFmtId="2" fontId="1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 wrapText="1"/>
    </xf>
    <xf numFmtId="2" fontId="2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6F864-FC48-4A59-A633-ABCFBEBBA47B}">
  <dimension ref="A1:XFD61"/>
  <sheetViews>
    <sheetView workbookViewId="0">
      <selection activeCell="A2" sqref="A2"/>
    </sheetView>
  </sheetViews>
  <sheetFormatPr baseColWidth="10" defaultRowHeight="15"/>
  <cols>
    <col min="1" max="1" width="31.5703125" bestFit="1" customWidth="1"/>
    <col min="3" max="3" width="12.140625" bestFit="1" customWidth="1"/>
  </cols>
  <sheetData>
    <row r="1" spans="1:6 16384:16384">
      <c r="B1" t="s">
        <v>0</v>
      </c>
      <c r="C1" t="s">
        <v>1</v>
      </c>
      <c r="D1" t="s">
        <v>3</v>
      </c>
      <c r="E1" t="s">
        <v>2</v>
      </c>
    </row>
    <row r="2" spans="1:6 16384:16384">
      <c r="A2" t="s">
        <v>4</v>
      </c>
      <c r="B2">
        <v>1860</v>
      </c>
      <c r="C2">
        <v>1750</v>
      </c>
      <c r="D2">
        <v>2288</v>
      </c>
      <c r="E2">
        <v>2050</v>
      </c>
    </row>
    <row r="3" spans="1:6 16384:16384">
      <c r="A3" t="s">
        <v>5</v>
      </c>
      <c r="B3">
        <v>12000</v>
      </c>
      <c r="C3">
        <v>12000</v>
      </c>
      <c r="D3">
        <v>12000</v>
      </c>
      <c r="E3">
        <v>12000</v>
      </c>
    </row>
    <row r="4" spans="1:6 16384:16384">
      <c r="A4" t="s">
        <v>63</v>
      </c>
      <c r="B4" s="1">
        <v>0.61229999999999996</v>
      </c>
      <c r="C4" s="1">
        <v>0.61229999999999996</v>
      </c>
      <c r="D4" s="1">
        <v>0.61229999999999996</v>
      </c>
      <c r="E4" s="1">
        <v>0.61229999999999996</v>
      </c>
      <c r="XFD4" s="1"/>
    </row>
    <row r="5" spans="1:6 16384:16384">
      <c r="A5" t="s">
        <v>6</v>
      </c>
      <c r="B5" s="1">
        <f>1-B4</f>
        <v>0.38770000000000004</v>
      </c>
      <c r="C5" s="1">
        <f>1-C4</f>
        <v>0.38770000000000004</v>
      </c>
      <c r="D5" s="1">
        <f>1-D4</f>
        <v>0.38770000000000004</v>
      </c>
      <c r="E5" s="1">
        <f>1-E4</f>
        <v>0.38770000000000004</v>
      </c>
      <c r="F5" s="1"/>
    </row>
    <row r="6" spans="1:6 16384:16384">
      <c r="A6" t="s">
        <v>7</v>
      </c>
      <c r="B6">
        <v>1500</v>
      </c>
      <c r="C6">
        <v>1200</v>
      </c>
      <c r="D6">
        <v>1500</v>
      </c>
      <c r="E6">
        <v>1500</v>
      </c>
    </row>
    <row r="7" spans="1:6 16384:16384">
      <c r="A7" t="s">
        <v>48</v>
      </c>
      <c r="B7" s="1">
        <v>0.67369999999999997</v>
      </c>
      <c r="C7" s="1">
        <v>0.67369999999999997</v>
      </c>
      <c r="D7" s="1">
        <v>0.67369999999999997</v>
      </c>
      <c r="E7" s="1">
        <v>0.67369999999999997</v>
      </c>
    </row>
    <row r="8" spans="1:6 16384:16384">
      <c r="A8" t="s">
        <v>49</v>
      </c>
      <c r="B8" s="1">
        <v>0.19209999999999999</v>
      </c>
      <c r="C8" s="1">
        <v>0.19209999999999999</v>
      </c>
      <c r="D8" s="1">
        <v>0.19209999999999999</v>
      </c>
      <c r="E8" s="1">
        <v>0.19209999999999999</v>
      </c>
    </row>
    <row r="9" spans="1:6 16384:16384">
      <c r="A9" t="s">
        <v>50</v>
      </c>
      <c r="B9" s="1">
        <v>0.13420000000000001</v>
      </c>
      <c r="C9" s="1">
        <v>0.13420000000000001</v>
      </c>
      <c r="D9" s="1">
        <v>0.13420000000000001</v>
      </c>
      <c r="E9" s="1">
        <v>0.13420000000000001</v>
      </c>
      <c r="F9" s="1"/>
    </row>
    <row r="10" spans="1:6 16384:16384">
      <c r="A10" t="s">
        <v>8</v>
      </c>
      <c r="B10">
        <v>900</v>
      </c>
      <c r="C10">
        <v>900</v>
      </c>
      <c r="D10">
        <v>900</v>
      </c>
      <c r="E10">
        <v>900</v>
      </c>
    </row>
    <row r="11" spans="1:6 16384:16384">
      <c r="A11" t="s">
        <v>9</v>
      </c>
      <c r="B11" s="2">
        <v>1</v>
      </c>
      <c r="C11" s="2">
        <v>1</v>
      </c>
      <c r="D11" s="2">
        <v>1</v>
      </c>
      <c r="E11" s="2">
        <v>1</v>
      </c>
    </row>
    <row r="12" spans="1:6 16384:16384">
      <c r="A12" t="s">
        <v>10</v>
      </c>
      <c r="B12">
        <v>5100</v>
      </c>
      <c r="C12">
        <v>5100</v>
      </c>
      <c r="D12">
        <v>9000</v>
      </c>
      <c r="E12">
        <v>6000</v>
      </c>
    </row>
    <row r="13" spans="1:6 16384:16384">
      <c r="A13" t="s">
        <v>11</v>
      </c>
      <c r="B13" s="1">
        <v>0.36280000000000001</v>
      </c>
      <c r="C13" s="1">
        <v>0.36280000000000001</v>
      </c>
      <c r="D13" s="1">
        <v>0.36280000000000001</v>
      </c>
      <c r="E13" s="1">
        <v>0.36280000000000001</v>
      </c>
    </row>
    <row r="14" spans="1:6 16384:16384">
      <c r="A14" t="s">
        <v>12</v>
      </c>
      <c r="B14" s="1">
        <v>0.15920000000000001</v>
      </c>
      <c r="C14" s="1">
        <v>0.15920000000000001</v>
      </c>
      <c r="D14" s="1">
        <v>0.15920000000000001</v>
      </c>
      <c r="E14" s="1">
        <v>0.15920000000000001</v>
      </c>
    </row>
    <row r="15" spans="1:6 16384:16384">
      <c r="A15" t="s">
        <v>13</v>
      </c>
      <c r="B15" s="1">
        <v>0.1145</v>
      </c>
      <c r="C15" s="1">
        <v>0.1145</v>
      </c>
      <c r="D15" s="1">
        <v>0.1145</v>
      </c>
      <c r="E15" s="1">
        <v>0.1145</v>
      </c>
    </row>
    <row r="16" spans="1:6 16384:16384">
      <c r="A16" t="s">
        <v>14</v>
      </c>
      <c r="B16" s="1">
        <v>9.3399999999999997E-2</v>
      </c>
      <c r="C16" s="1">
        <v>9.3399999999999997E-2</v>
      </c>
      <c r="D16" s="1">
        <v>9.3399999999999997E-2</v>
      </c>
      <c r="E16" s="1">
        <v>9.3399999999999997E-2</v>
      </c>
    </row>
    <row r="17" spans="1:6 16384:16384">
      <c r="A17" t="s">
        <v>15</v>
      </c>
      <c r="B17" s="1">
        <v>5.7099999999999998E-2</v>
      </c>
      <c r="C17" s="1">
        <v>5.7099999999999998E-2</v>
      </c>
      <c r="D17" s="1">
        <v>5.7099999999999998E-2</v>
      </c>
      <c r="E17" s="1">
        <v>5.7099999999999998E-2</v>
      </c>
    </row>
    <row r="18" spans="1:6 16384:16384">
      <c r="A18" t="s">
        <v>16</v>
      </c>
      <c r="B18" s="1">
        <v>4.4200000000000003E-2</v>
      </c>
      <c r="C18" s="1">
        <v>4.4200000000000003E-2</v>
      </c>
      <c r="D18" s="1">
        <v>4.4200000000000003E-2</v>
      </c>
      <c r="E18" s="1">
        <v>4.4200000000000003E-2</v>
      </c>
    </row>
    <row r="19" spans="1:6 16384:16384">
      <c r="A19" t="s">
        <v>17</v>
      </c>
      <c r="B19" s="1">
        <v>3.9600000000000003E-2</v>
      </c>
      <c r="C19" s="1">
        <v>3.9600000000000003E-2</v>
      </c>
      <c r="D19" s="1">
        <v>3.9600000000000003E-2</v>
      </c>
      <c r="E19" s="1">
        <v>3.9600000000000003E-2</v>
      </c>
    </row>
    <row r="20" spans="1:6 16384:16384">
      <c r="A20" t="s">
        <v>18</v>
      </c>
      <c r="B20" s="1">
        <v>3.6600000000000001E-2</v>
      </c>
      <c r="C20" s="1">
        <v>3.6600000000000001E-2</v>
      </c>
      <c r="D20" s="1">
        <v>3.6600000000000001E-2</v>
      </c>
      <c r="E20" s="1">
        <v>3.6600000000000001E-2</v>
      </c>
    </row>
    <row r="21" spans="1:6 16384:16384">
      <c r="A21" t="s">
        <v>19</v>
      </c>
      <c r="B21" s="1">
        <v>3.1899999999999998E-2</v>
      </c>
      <c r="C21" s="1">
        <v>3.1899999999999998E-2</v>
      </c>
      <c r="D21" s="1">
        <v>3.1899999999999998E-2</v>
      </c>
      <c r="E21" s="1">
        <v>3.1899999999999998E-2</v>
      </c>
    </row>
    <row r="22" spans="1:6 16384:16384">
      <c r="A22" t="s">
        <v>20</v>
      </c>
      <c r="B22" s="1">
        <v>3.15E-2</v>
      </c>
      <c r="C22" s="1">
        <v>3.15E-2</v>
      </c>
      <c r="D22" s="1">
        <v>3.15E-2</v>
      </c>
      <c r="E22" s="1">
        <v>3.15E-2</v>
      </c>
    </row>
    <row r="23" spans="1:6 16384:16384">
      <c r="A23" t="s">
        <v>21</v>
      </c>
      <c r="B23" s="1">
        <v>2.92E-2</v>
      </c>
      <c r="C23" s="1">
        <v>2.92E-2</v>
      </c>
      <c r="D23" s="1">
        <v>2.92E-2</v>
      </c>
      <c r="E23" s="1">
        <v>2.92E-2</v>
      </c>
    </row>
    <row r="24" spans="1:6 16384:16384">
      <c r="A24" t="s">
        <v>22</v>
      </c>
      <c r="B24">
        <v>6000</v>
      </c>
      <c r="C24">
        <v>6000</v>
      </c>
      <c r="D24">
        <v>6000</v>
      </c>
      <c r="E24">
        <v>6000</v>
      </c>
      <c r="F24" s="1"/>
      <c r="XFD24" s="1"/>
    </row>
    <row r="25" spans="1:6 16384:16384">
      <c r="A25" t="s">
        <v>23</v>
      </c>
      <c r="B25" s="1">
        <v>0.4617</v>
      </c>
      <c r="C25" s="1">
        <v>0.4617</v>
      </c>
      <c r="D25" s="1">
        <v>0.4617</v>
      </c>
      <c r="E25" s="1">
        <v>0.4617</v>
      </c>
    </row>
    <row r="26" spans="1:6 16384:16384">
      <c r="A26" t="s">
        <v>24</v>
      </c>
      <c r="B26" s="1">
        <v>0.16769999999999999</v>
      </c>
      <c r="C26" s="1">
        <v>0.16769999999999999</v>
      </c>
      <c r="D26" s="1">
        <v>0.16769999999999999</v>
      </c>
      <c r="E26" s="1">
        <v>0.16769999999999999</v>
      </c>
    </row>
    <row r="27" spans="1:6 16384:16384">
      <c r="A27" t="s">
        <v>25</v>
      </c>
      <c r="B27" s="1">
        <v>0.16020000000000001</v>
      </c>
      <c r="C27" s="1">
        <v>0.16020000000000001</v>
      </c>
      <c r="D27" s="1">
        <v>0.16020000000000001</v>
      </c>
      <c r="E27" s="1">
        <v>0.16020000000000001</v>
      </c>
    </row>
    <row r="28" spans="1:6 16384:16384">
      <c r="A28" t="s">
        <v>26</v>
      </c>
      <c r="B28" s="1">
        <v>0.11109999999999999</v>
      </c>
      <c r="C28" s="1">
        <v>0.11109999999999999</v>
      </c>
      <c r="D28" s="1">
        <v>0.11109999999999999</v>
      </c>
      <c r="E28" s="1">
        <v>0.11109999999999999</v>
      </c>
    </row>
    <row r="29" spans="1:6 16384:16384">
      <c r="A29" t="s">
        <v>27</v>
      </c>
      <c r="B29" s="1">
        <v>9.9199999999999997E-2</v>
      </c>
      <c r="C29" s="1">
        <v>9.9199999999999997E-2</v>
      </c>
      <c r="D29" s="1">
        <v>9.9199999999999997E-2</v>
      </c>
      <c r="E29" s="1">
        <v>9.9199999999999997E-2</v>
      </c>
      <c r="F29" s="1"/>
    </row>
    <row r="30" spans="1:6 16384:16384">
      <c r="A30" t="s">
        <v>29</v>
      </c>
      <c r="B30">
        <v>6000</v>
      </c>
      <c r="C30">
        <v>6000</v>
      </c>
      <c r="D30">
        <v>6000</v>
      </c>
      <c r="E30">
        <v>6000</v>
      </c>
    </row>
    <row r="31" spans="1:6 16384:16384">
      <c r="A31" t="s">
        <v>28</v>
      </c>
      <c r="B31" s="1">
        <v>0.43109999999999998</v>
      </c>
      <c r="C31" s="1">
        <v>0.43109999999999998</v>
      </c>
      <c r="D31" s="1">
        <v>0.43109999999999998</v>
      </c>
      <c r="E31" s="1">
        <v>0.43109999999999998</v>
      </c>
    </row>
    <row r="32" spans="1:6 16384:16384">
      <c r="A32" t="s">
        <v>30</v>
      </c>
      <c r="B32" s="1">
        <v>0.34689999999999999</v>
      </c>
      <c r="C32" s="1">
        <v>0.34689999999999999</v>
      </c>
      <c r="D32" s="1">
        <v>0.34689999999999999</v>
      </c>
      <c r="E32" s="1">
        <v>0.34689999999999999</v>
      </c>
    </row>
    <row r="33" spans="1:6">
      <c r="A33" t="s">
        <v>31</v>
      </c>
      <c r="B33" s="1">
        <v>0.22209999999999999</v>
      </c>
      <c r="C33" s="1">
        <v>0.22209999999999999</v>
      </c>
      <c r="D33" s="1">
        <v>0.22209999999999999</v>
      </c>
      <c r="E33" s="1">
        <v>0.22209999999999999</v>
      </c>
      <c r="F33" s="1"/>
    </row>
    <row r="34" spans="1:6">
      <c r="A34" t="s">
        <v>32</v>
      </c>
      <c r="B34">
        <v>3000</v>
      </c>
      <c r="C34">
        <v>3000</v>
      </c>
      <c r="D34">
        <v>3000</v>
      </c>
      <c r="E34">
        <v>3000</v>
      </c>
    </row>
    <row r="35" spans="1:6">
      <c r="A35" t="s">
        <v>33</v>
      </c>
      <c r="B35" s="2">
        <v>1</v>
      </c>
      <c r="C35" s="2">
        <v>1</v>
      </c>
      <c r="D35" s="2">
        <v>1</v>
      </c>
      <c r="E35" s="2">
        <v>1</v>
      </c>
    </row>
    <row r="36" spans="1:6">
      <c r="A36" t="s">
        <v>34</v>
      </c>
      <c r="B36">
        <v>9000</v>
      </c>
      <c r="C36">
        <v>9000</v>
      </c>
      <c r="D36">
        <v>15000</v>
      </c>
      <c r="E36">
        <v>13500</v>
      </c>
    </row>
    <row r="37" spans="1:6">
      <c r="A37" t="s">
        <v>35</v>
      </c>
      <c r="B37" s="1">
        <v>0.25309999999999999</v>
      </c>
      <c r="C37" s="1">
        <v>0.25309999999999999</v>
      </c>
      <c r="D37" s="1">
        <v>0.25309999999999999</v>
      </c>
      <c r="E37" s="1">
        <v>0.25309999999999999</v>
      </c>
    </row>
    <row r="38" spans="1:6">
      <c r="A38" t="s">
        <v>36</v>
      </c>
      <c r="B38" s="1">
        <v>0.2374</v>
      </c>
      <c r="C38" s="1">
        <v>0.2374</v>
      </c>
      <c r="D38" s="1">
        <v>0.2374</v>
      </c>
      <c r="E38" s="1">
        <v>0.2374</v>
      </c>
    </row>
    <row r="39" spans="1:6">
      <c r="A39" t="s">
        <v>37</v>
      </c>
      <c r="B39" s="1">
        <v>0.2235</v>
      </c>
      <c r="C39" s="1">
        <v>0.2235</v>
      </c>
      <c r="D39" s="1">
        <v>0.2235</v>
      </c>
      <c r="E39" s="1">
        <v>0.2235</v>
      </c>
    </row>
    <row r="40" spans="1:6">
      <c r="A40" t="s">
        <v>38</v>
      </c>
      <c r="B40" s="1">
        <v>0.1845</v>
      </c>
      <c r="C40" s="1">
        <v>0.1845</v>
      </c>
      <c r="D40" s="1">
        <v>0.1845</v>
      </c>
      <c r="E40" s="1">
        <v>0.1845</v>
      </c>
    </row>
    <row r="41" spans="1:6">
      <c r="A41" t="s">
        <v>39</v>
      </c>
      <c r="B41" s="1">
        <v>0.10150000000000001</v>
      </c>
      <c r="C41" s="1">
        <v>0.10150000000000001</v>
      </c>
      <c r="D41" s="1">
        <v>0.10150000000000001</v>
      </c>
      <c r="E41" s="1">
        <v>0.10150000000000001</v>
      </c>
      <c r="F41" s="1"/>
    </row>
    <row r="42" spans="1:6">
      <c r="A42" t="s">
        <v>40</v>
      </c>
      <c r="B42">
        <v>2400</v>
      </c>
      <c r="C42">
        <v>2100</v>
      </c>
      <c r="D42">
        <v>3000</v>
      </c>
      <c r="E42">
        <v>3000</v>
      </c>
    </row>
    <row r="43" spans="1:6">
      <c r="A43" t="s">
        <v>41</v>
      </c>
      <c r="B43" s="1">
        <v>0.36359999999999998</v>
      </c>
      <c r="C43" s="1">
        <v>0.36359999999999998</v>
      </c>
      <c r="D43" s="1">
        <v>0.36359999999999998</v>
      </c>
      <c r="E43" s="1">
        <v>0.36359999999999998</v>
      </c>
    </row>
    <row r="44" spans="1:6">
      <c r="A44" t="s">
        <v>42</v>
      </c>
      <c r="B44" s="1">
        <v>0.23089999999999999</v>
      </c>
      <c r="C44" s="1">
        <v>0.23089999999999999</v>
      </c>
      <c r="D44" s="1">
        <v>0.23089999999999999</v>
      </c>
      <c r="E44" s="1">
        <v>0.23089999999999999</v>
      </c>
    </row>
    <row r="45" spans="1:6">
      <c r="A45" t="s">
        <v>43</v>
      </c>
      <c r="B45" s="1">
        <v>0.2064</v>
      </c>
      <c r="C45" s="1">
        <v>0.2064</v>
      </c>
      <c r="D45" s="1">
        <v>0.2064</v>
      </c>
      <c r="E45" s="1">
        <v>0.2064</v>
      </c>
    </row>
    <row r="46" spans="1:6">
      <c r="A46" t="s">
        <v>44</v>
      </c>
      <c r="B46" s="1">
        <v>0.12540000000000001</v>
      </c>
      <c r="C46" s="1">
        <v>0.12540000000000001</v>
      </c>
      <c r="D46" s="1">
        <v>0.12540000000000001</v>
      </c>
      <c r="E46" s="1">
        <v>0.12540000000000001</v>
      </c>
    </row>
    <row r="47" spans="1:6">
      <c r="A47" t="s">
        <v>45</v>
      </c>
      <c r="B47" s="1">
        <v>7.3700000000000002E-2</v>
      </c>
      <c r="C47" s="1">
        <v>7.3700000000000002E-2</v>
      </c>
      <c r="D47" s="1">
        <v>7.3700000000000002E-2</v>
      </c>
      <c r="E47" s="1">
        <v>7.3700000000000002E-2</v>
      </c>
      <c r="F47" s="1"/>
    </row>
    <row r="48" spans="1:6">
      <c r="A48" t="s">
        <v>46</v>
      </c>
      <c r="B48">
        <v>3000</v>
      </c>
      <c r="C48">
        <v>3000</v>
      </c>
      <c r="D48">
        <v>3600</v>
      </c>
      <c r="E48">
        <v>3000</v>
      </c>
    </row>
    <row r="49" spans="1:5 16384:16384">
      <c r="A49" t="s">
        <v>47</v>
      </c>
      <c r="B49" s="2">
        <v>1</v>
      </c>
      <c r="C49" s="2">
        <v>1</v>
      </c>
      <c r="D49" s="2">
        <v>1</v>
      </c>
      <c r="E49" s="2">
        <v>1</v>
      </c>
    </row>
    <row r="50" spans="1:5 16384:16384">
      <c r="A50" t="s">
        <v>51</v>
      </c>
      <c r="B50">
        <v>600</v>
      </c>
      <c r="C50">
        <v>600</v>
      </c>
      <c r="D50">
        <v>600</v>
      </c>
      <c r="E50">
        <v>600</v>
      </c>
    </row>
    <row r="51" spans="1:5 16384:16384">
      <c r="A51" t="s">
        <v>52</v>
      </c>
      <c r="B51" s="1">
        <v>0.53449999999999998</v>
      </c>
      <c r="C51" s="1">
        <v>0.53449999999999998</v>
      </c>
      <c r="D51" s="1">
        <v>0.53449999999999998</v>
      </c>
      <c r="E51" s="1">
        <v>0.53449999999999998</v>
      </c>
    </row>
    <row r="52" spans="1:5 16384:16384">
      <c r="A52" t="s">
        <v>53</v>
      </c>
      <c r="B52" s="1">
        <v>0.46550000000000002</v>
      </c>
      <c r="C52" s="1">
        <v>0.46550000000000002</v>
      </c>
      <c r="D52" s="1">
        <v>0.46550000000000002</v>
      </c>
      <c r="E52" s="1">
        <v>0.46550000000000002</v>
      </c>
    </row>
    <row r="53" spans="1:5 16384:16384">
      <c r="A53" t="s">
        <v>54</v>
      </c>
      <c r="B53">
        <v>900</v>
      </c>
      <c r="C53">
        <v>750</v>
      </c>
      <c r="D53">
        <v>1200</v>
      </c>
      <c r="E53">
        <v>750</v>
      </c>
    </row>
    <row r="54" spans="1:5 16384:16384">
      <c r="A54" t="s">
        <v>55</v>
      </c>
      <c r="B54" s="1">
        <v>0.41189999999999999</v>
      </c>
      <c r="C54" s="1">
        <v>0.41189999999999999</v>
      </c>
      <c r="D54" s="1">
        <v>0.41189999999999999</v>
      </c>
      <c r="E54" s="1">
        <v>0.41189999999999999</v>
      </c>
    </row>
    <row r="55" spans="1:5 16384:16384">
      <c r="A55" t="s">
        <v>56</v>
      </c>
      <c r="B55" s="1">
        <v>0.39850000000000002</v>
      </c>
      <c r="C55" s="1">
        <v>0.39850000000000002</v>
      </c>
      <c r="D55" s="1">
        <v>0.39850000000000002</v>
      </c>
      <c r="E55" s="1">
        <v>0.39850000000000002</v>
      </c>
    </row>
    <row r="56" spans="1:5 16384:16384">
      <c r="A56" t="s">
        <v>57</v>
      </c>
      <c r="B56" s="1">
        <v>0.18959999999999999</v>
      </c>
      <c r="C56" s="1">
        <v>0.18959999999999999</v>
      </c>
      <c r="D56" s="1">
        <v>0.18959999999999999</v>
      </c>
      <c r="E56" s="1">
        <v>0.18959999999999999</v>
      </c>
    </row>
    <row r="57" spans="1:5 16384:16384">
      <c r="A57" t="s">
        <v>58</v>
      </c>
      <c r="B57">
        <v>600</v>
      </c>
      <c r="C57">
        <v>600</v>
      </c>
      <c r="D57">
        <v>900</v>
      </c>
      <c r="E57">
        <v>900</v>
      </c>
    </row>
    <row r="58" spans="1:5 16384:16384">
      <c r="A58" t="s">
        <v>59</v>
      </c>
      <c r="B58" s="1">
        <v>0.76729999999999998</v>
      </c>
      <c r="C58" s="1">
        <v>0.76729999999999998</v>
      </c>
      <c r="D58" s="1">
        <v>0.76729999999999998</v>
      </c>
      <c r="E58" s="1">
        <v>0.76729999999999998</v>
      </c>
    </row>
    <row r="59" spans="1:5 16384:16384">
      <c r="A59" t="s">
        <v>60</v>
      </c>
      <c r="B59" s="1">
        <v>0.23269999999999999</v>
      </c>
      <c r="C59" s="1">
        <v>0.23269999999999999</v>
      </c>
      <c r="D59" s="1">
        <v>0.23269999999999999</v>
      </c>
      <c r="E59" s="1">
        <v>0.23269999999999999</v>
      </c>
    </row>
    <row r="60" spans="1:5 16384:16384">
      <c r="A60" t="s">
        <v>61</v>
      </c>
      <c r="B60">
        <v>341.7</v>
      </c>
      <c r="C60">
        <v>321.3</v>
      </c>
      <c r="D60">
        <v>423.3</v>
      </c>
      <c r="E60">
        <v>377.4</v>
      </c>
    </row>
    <row r="61" spans="1:5 16384:16384">
      <c r="A61" t="s">
        <v>62</v>
      </c>
      <c r="B61" s="2">
        <v>1</v>
      </c>
      <c r="C61" s="2">
        <v>1</v>
      </c>
      <c r="D61" s="2">
        <v>1</v>
      </c>
      <c r="E61" s="2">
        <v>1</v>
      </c>
      <c r="XFD6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281E0-2942-4D91-BA64-658E7E05C605}">
  <dimension ref="A1:XEF46"/>
  <sheetViews>
    <sheetView workbookViewId="0"/>
  </sheetViews>
  <sheetFormatPr baseColWidth="10" defaultRowHeight="15"/>
  <cols>
    <col min="1" max="1" width="31.5703125" bestFit="1" customWidth="1"/>
    <col min="2" max="2" width="8.28515625" bestFit="1" customWidth="1"/>
    <col min="3" max="3" width="10.140625" bestFit="1" customWidth="1"/>
    <col min="4" max="4" width="8" bestFit="1" customWidth="1"/>
    <col min="5" max="5" width="9.85546875" bestFit="1" customWidth="1"/>
  </cols>
  <sheetData>
    <row r="1" spans="1:5 16360:16360">
      <c r="A1" t="s">
        <v>64</v>
      </c>
      <c r="B1" t="s">
        <v>67</v>
      </c>
      <c r="C1" t="s">
        <v>65</v>
      </c>
      <c r="D1" t="s">
        <v>66</v>
      </c>
      <c r="E1" t="s">
        <v>68</v>
      </c>
    </row>
    <row r="2" spans="1:5 16360:16360">
      <c r="A2" t="s">
        <v>69</v>
      </c>
      <c r="B2">
        <v>7.347599999999999</v>
      </c>
      <c r="C2">
        <v>7.347599999999999</v>
      </c>
      <c r="D2">
        <v>7.347599999999999</v>
      </c>
      <c r="E2">
        <v>7.347599999999999</v>
      </c>
      <c r="XEF2" s="1"/>
    </row>
    <row r="3" spans="1:5 16360:16360">
      <c r="A3" t="s">
        <v>70</v>
      </c>
      <c r="B3">
        <v>4.652400000000001</v>
      </c>
      <c r="C3">
        <v>4.652400000000001</v>
      </c>
      <c r="D3">
        <v>4.652400000000001</v>
      </c>
      <c r="E3">
        <v>4.652400000000001</v>
      </c>
    </row>
    <row r="4" spans="1:5 16360:16360">
      <c r="A4" t="s">
        <v>71</v>
      </c>
      <c r="B4">
        <v>1.0105500000000001</v>
      </c>
      <c r="C4">
        <v>0.80843999999999994</v>
      </c>
      <c r="D4">
        <v>1.0105500000000001</v>
      </c>
      <c r="E4">
        <v>1.0105500000000001</v>
      </c>
    </row>
    <row r="5" spans="1:5 16360:16360">
      <c r="A5" t="s">
        <v>72</v>
      </c>
      <c r="B5">
        <v>0.28814999999999996</v>
      </c>
      <c r="C5">
        <v>0.23051999999999997</v>
      </c>
      <c r="D5">
        <v>0.28814999999999996</v>
      </c>
      <c r="E5">
        <v>0.28814999999999996</v>
      </c>
    </row>
    <row r="6" spans="1:5 16360:16360">
      <c r="A6" t="s">
        <v>73</v>
      </c>
      <c r="B6">
        <v>0.20130000000000006</v>
      </c>
      <c r="C6">
        <v>0.16104000000000007</v>
      </c>
      <c r="D6">
        <v>0.20130000000000006</v>
      </c>
      <c r="E6">
        <v>0.20130000000000006</v>
      </c>
    </row>
    <row r="7" spans="1:5 16360:16360">
      <c r="A7" t="s">
        <v>74</v>
      </c>
      <c r="B7">
        <v>1.8502799999999999</v>
      </c>
      <c r="C7">
        <v>1.8502799999999999</v>
      </c>
      <c r="D7">
        <v>3.2652000000000001</v>
      </c>
      <c r="E7">
        <v>2.1768000000000001</v>
      </c>
    </row>
    <row r="8" spans="1:5 16360:16360">
      <c r="A8" t="s">
        <v>75</v>
      </c>
      <c r="B8">
        <v>0.81192000000000009</v>
      </c>
      <c r="C8">
        <v>0.81192000000000009</v>
      </c>
      <c r="D8">
        <v>1.4328000000000001</v>
      </c>
      <c r="E8">
        <v>0.95520000000000005</v>
      </c>
    </row>
    <row r="9" spans="1:5 16360:16360">
      <c r="A9" t="s">
        <v>76</v>
      </c>
      <c r="B9">
        <v>0.58395000000000008</v>
      </c>
      <c r="C9">
        <v>0.58395000000000008</v>
      </c>
      <c r="D9">
        <v>1.0305</v>
      </c>
      <c r="E9">
        <v>0.68700000000000006</v>
      </c>
    </row>
    <row r="10" spans="1:5 16360:16360">
      <c r="A10" t="s">
        <v>77</v>
      </c>
      <c r="B10">
        <v>0.47633999999999999</v>
      </c>
      <c r="C10">
        <v>0.47633999999999999</v>
      </c>
      <c r="D10">
        <v>0.84060000000000001</v>
      </c>
      <c r="E10">
        <v>0.56040000000000001</v>
      </c>
    </row>
    <row r="11" spans="1:5 16360:16360">
      <c r="A11" t="s">
        <v>78</v>
      </c>
      <c r="B11">
        <v>0.29120999999999997</v>
      </c>
      <c r="C11">
        <v>0.29120999999999997</v>
      </c>
      <c r="D11">
        <v>0.51390000000000002</v>
      </c>
      <c r="E11">
        <v>0.34259999999999996</v>
      </c>
    </row>
    <row r="12" spans="1:5 16360:16360">
      <c r="A12" t="s">
        <v>79</v>
      </c>
      <c r="B12">
        <v>0.22542000000000001</v>
      </c>
      <c r="C12">
        <v>0.22542000000000001</v>
      </c>
      <c r="D12">
        <v>0.39779999999999999</v>
      </c>
      <c r="E12">
        <v>0.26520000000000005</v>
      </c>
    </row>
    <row r="13" spans="1:5 16360:16360">
      <c r="A13" t="s">
        <v>80</v>
      </c>
      <c r="B13">
        <v>0.20196</v>
      </c>
      <c r="C13">
        <v>0.20196</v>
      </c>
      <c r="D13">
        <v>0.35640000000000005</v>
      </c>
      <c r="E13">
        <v>0.23760000000000003</v>
      </c>
    </row>
    <row r="14" spans="1:5 16360:16360">
      <c r="A14" t="s">
        <v>81</v>
      </c>
      <c r="B14">
        <v>0.18665999999999999</v>
      </c>
      <c r="C14">
        <v>0.18665999999999999</v>
      </c>
      <c r="D14">
        <v>0.32939999999999997</v>
      </c>
      <c r="E14">
        <v>0.21959999999999999</v>
      </c>
    </row>
    <row r="15" spans="1:5 16360:16360">
      <c r="A15" t="s">
        <v>82</v>
      </c>
      <c r="B15">
        <v>0.16269</v>
      </c>
      <c r="C15">
        <v>0.16269</v>
      </c>
      <c r="D15">
        <v>0.28709999999999997</v>
      </c>
      <c r="E15">
        <v>0.19139999999999999</v>
      </c>
    </row>
    <row r="16" spans="1:5 16360:16360">
      <c r="A16" t="s">
        <v>83</v>
      </c>
      <c r="B16">
        <v>0.16065000000000002</v>
      </c>
      <c r="C16">
        <v>0.16065000000000002</v>
      </c>
      <c r="D16">
        <v>0.28349999999999997</v>
      </c>
      <c r="E16">
        <v>0.189</v>
      </c>
    </row>
    <row r="17" spans="1:5 16360:16360">
      <c r="A17" t="s">
        <v>84</v>
      </c>
      <c r="B17">
        <v>0.14892</v>
      </c>
      <c r="C17">
        <v>0.14892</v>
      </c>
      <c r="D17">
        <v>0.26280000000000003</v>
      </c>
      <c r="E17">
        <v>0.17519999999999999</v>
      </c>
    </row>
    <row r="18" spans="1:5 16360:16360">
      <c r="A18" t="s">
        <v>85</v>
      </c>
      <c r="B18">
        <v>2.7702</v>
      </c>
      <c r="C18">
        <v>2.7702</v>
      </c>
      <c r="D18">
        <v>2.7702</v>
      </c>
      <c r="E18">
        <v>2.7702</v>
      </c>
      <c r="XEF18" s="1"/>
    </row>
    <row r="19" spans="1:5 16360:16360">
      <c r="A19" t="s">
        <v>86</v>
      </c>
      <c r="B19">
        <v>1.0062</v>
      </c>
      <c r="C19">
        <v>1.0062</v>
      </c>
      <c r="D19">
        <v>1.0062</v>
      </c>
      <c r="E19">
        <v>1.0062</v>
      </c>
    </row>
    <row r="20" spans="1:5 16360:16360">
      <c r="A20" t="s">
        <v>87</v>
      </c>
      <c r="B20">
        <v>0.96120000000000005</v>
      </c>
      <c r="C20">
        <v>0.96120000000000005</v>
      </c>
      <c r="D20">
        <v>0.96120000000000005</v>
      </c>
      <c r="E20">
        <v>0.96120000000000005</v>
      </c>
    </row>
    <row r="21" spans="1:5 16360:16360">
      <c r="A21" t="s">
        <v>88</v>
      </c>
      <c r="B21">
        <v>0.66659999999999997</v>
      </c>
      <c r="C21">
        <v>0.66659999999999997</v>
      </c>
      <c r="D21">
        <v>0.66659999999999997</v>
      </c>
      <c r="E21">
        <v>0.66659999999999997</v>
      </c>
    </row>
    <row r="22" spans="1:5 16360:16360">
      <c r="A22" t="s">
        <v>89</v>
      </c>
      <c r="B22">
        <v>0.59519999999999995</v>
      </c>
      <c r="C22">
        <v>0.59519999999999995</v>
      </c>
      <c r="D22">
        <v>0.59519999999999995</v>
      </c>
      <c r="E22">
        <v>0.59519999999999995</v>
      </c>
    </row>
    <row r="23" spans="1:5 16360:16360">
      <c r="A23" t="s">
        <v>90</v>
      </c>
      <c r="B23">
        <v>2.5865999999999998</v>
      </c>
      <c r="C23">
        <v>2.5865999999999998</v>
      </c>
      <c r="D23">
        <v>2.5865999999999998</v>
      </c>
      <c r="E23">
        <v>2.5865999999999998</v>
      </c>
    </row>
    <row r="24" spans="1:5 16360:16360">
      <c r="A24" t="s">
        <v>91</v>
      </c>
      <c r="B24">
        <v>2.0813999999999999</v>
      </c>
      <c r="C24">
        <v>2.0813999999999999</v>
      </c>
      <c r="D24">
        <v>2.0813999999999999</v>
      </c>
      <c r="E24">
        <v>2.0813999999999999</v>
      </c>
    </row>
    <row r="25" spans="1:5 16360:16360">
      <c r="A25" t="s">
        <v>92</v>
      </c>
      <c r="B25">
        <v>1.3326</v>
      </c>
      <c r="C25">
        <v>1.3326</v>
      </c>
      <c r="D25">
        <v>1.3326</v>
      </c>
      <c r="E25">
        <v>1.3326</v>
      </c>
    </row>
    <row r="26" spans="1:5 16360:16360">
      <c r="A26" t="s">
        <v>93</v>
      </c>
      <c r="B26">
        <v>3</v>
      </c>
      <c r="C26">
        <v>3</v>
      </c>
      <c r="D26">
        <v>3</v>
      </c>
      <c r="E26">
        <v>3</v>
      </c>
    </row>
    <row r="27" spans="1:5 16360:16360">
      <c r="A27" t="s">
        <v>94</v>
      </c>
      <c r="B27">
        <v>2.2779000000000003</v>
      </c>
      <c r="C27">
        <v>2.2779000000000003</v>
      </c>
      <c r="D27">
        <v>3.7965</v>
      </c>
      <c r="E27">
        <v>3.4168499999999997</v>
      </c>
    </row>
    <row r="28" spans="1:5 16360:16360">
      <c r="A28" t="s">
        <v>95</v>
      </c>
      <c r="B28">
        <v>2.1366000000000001</v>
      </c>
      <c r="C28">
        <v>2.1366000000000001</v>
      </c>
      <c r="D28">
        <v>3.5609999999999999</v>
      </c>
      <c r="E28">
        <v>3.2049000000000003</v>
      </c>
    </row>
    <row r="29" spans="1:5 16360:16360">
      <c r="A29" t="s">
        <v>96</v>
      </c>
      <c r="B29">
        <v>2.0114999999999998</v>
      </c>
      <c r="C29">
        <v>2.0114999999999998</v>
      </c>
      <c r="D29">
        <v>3.3525</v>
      </c>
      <c r="E29">
        <v>3.0172500000000002</v>
      </c>
    </row>
    <row r="30" spans="1:5 16360:16360">
      <c r="A30" t="s">
        <v>97</v>
      </c>
      <c r="B30">
        <v>1.6605000000000001</v>
      </c>
      <c r="C30">
        <v>1.6605000000000001</v>
      </c>
      <c r="D30">
        <v>2.7675000000000001</v>
      </c>
      <c r="E30">
        <v>2.4907499999999998</v>
      </c>
    </row>
    <row r="31" spans="1:5 16360:16360">
      <c r="A31" t="s">
        <v>98</v>
      </c>
      <c r="B31">
        <v>0.91350000000000009</v>
      </c>
      <c r="C31">
        <v>0.91350000000000009</v>
      </c>
      <c r="D31">
        <v>1.5225</v>
      </c>
      <c r="E31">
        <v>1.37025</v>
      </c>
    </row>
    <row r="32" spans="1:5 16360:16360">
      <c r="A32" t="s">
        <v>99</v>
      </c>
      <c r="B32">
        <v>0.87263999999999997</v>
      </c>
      <c r="C32">
        <v>0.76355999999999991</v>
      </c>
      <c r="D32">
        <v>1.0908</v>
      </c>
      <c r="E32">
        <v>1.0908</v>
      </c>
    </row>
    <row r="33" spans="1:5 16360:16360">
      <c r="A33" t="s">
        <v>100</v>
      </c>
      <c r="B33">
        <v>0.55415999999999999</v>
      </c>
      <c r="C33">
        <v>0.48488999999999999</v>
      </c>
      <c r="D33">
        <v>0.69269999999999998</v>
      </c>
      <c r="E33">
        <v>0.69269999999999998</v>
      </c>
    </row>
    <row r="34" spans="1:5 16360:16360">
      <c r="A34" t="s">
        <v>101</v>
      </c>
      <c r="B34">
        <v>0.49536000000000002</v>
      </c>
      <c r="C34">
        <v>0.43343999999999999</v>
      </c>
      <c r="D34">
        <v>0.61920000000000008</v>
      </c>
      <c r="E34">
        <v>0.61920000000000008</v>
      </c>
    </row>
    <row r="35" spans="1:5 16360:16360">
      <c r="A35" t="s">
        <v>102</v>
      </c>
      <c r="B35">
        <v>0.30096000000000006</v>
      </c>
      <c r="C35">
        <v>0.26334000000000002</v>
      </c>
      <c r="D35">
        <v>0.37620000000000003</v>
      </c>
      <c r="E35">
        <v>0.37620000000000003</v>
      </c>
    </row>
    <row r="36" spans="1:5 16360:16360">
      <c r="A36" t="s">
        <v>103</v>
      </c>
      <c r="B36">
        <v>0.17687999999999998</v>
      </c>
      <c r="C36">
        <v>0.15477000000000002</v>
      </c>
      <c r="D36">
        <v>0.22109999999999999</v>
      </c>
      <c r="E36">
        <v>0.22109999999999999</v>
      </c>
    </row>
    <row r="37" spans="1:5 16360:16360">
      <c r="A37" t="s">
        <v>104</v>
      </c>
      <c r="B37">
        <v>3</v>
      </c>
      <c r="C37">
        <v>3</v>
      </c>
      <c r="D37">
        <v>3.6</v>
      </c>
      <c r="E37">
        <v>3</v>
      </c>
    </row>
    <row r="38" spans="1:5 16360:16360">
      <c r="A38" t="s">
        <v>105</v>
      </c>
      <c r="B38">
        <v>0.32069999999999999</v>
      </c>
      <c r="C38">
        <v>0.32069999999999999</v>
      </c>
      <c r="D38">
        <v>0.32069999999999999</v>
      </c>
      <c r="E38">
        <v>0.32069999999999999</v>
      </c>
    </row>
    <row r="39" spans="1:5 16360:16360">
      <c r="A39" t="s">
        <v>106</v>
      </c>
      <c r="B39">
        <v>0.27929999999999999</v>
      </c>
      <c r="C39">
        <v>0.27929999999999999</v>
      </c>
      <c r="D39">
        <v>0.27929999999999999</v>
      </c>
      <c r="E39">
        <v>0.27929999999999999</v>
      </c>
    </row>
    <row r="40" spans="1:5 16360:16360">
      <c r="A40" t="s">
        <v>107</v>
      </c>
      <c r="B40">
        <v>0.37070999999999998</v>
      </c>
      <c r="C40">
        <v>0.30892500000000001</v>
      </c>
      <c r="D40">
        <v>0.49428</v>
      </c>
      <c r="E40">
        <v>0.30892500000000001</v>
      </c>
    </row>
    <row r="41" spans="1:5 16360:16360">
      <c r="A41" t="s">
        <v>108</v>
      </c>
      <c r="B41">
        <v>0.35865000000000002</v>
      </c>
      <c r="C41">
        <v>0.298875</v>
      </c>
      <c r="D41">
        <v>0.47820000000000007</v>
      </c>
      <c r="E41">
        <v>0.298875</v>
      </c>
    </row>
    <row r="42" spans="1:5 16360:16360">
      <c r="A42" t="s">
        <v>109</v>
      </c>
      <c r="B42">
        <v>0.17063999999999999</v>
      </c>
      <c r="C42">
        <v>0.14219999999999999</v>
      </c>
      <c r="D42">
        <v>0.22751999999999997</v>
      </c>
      <c r="E42">
        <v>0.14219999999999999</v>
      </c>
    </row>
    <row r="43" spans="1:5 16360:16360">
      <c r="A43" t="s">
        <v>110</v>
      </c>
      <c r="B43">
        <v>0.46038000000000001</v>
      </c>
      <c r="C43">
        <v>0.46038000000000001</v>
      </c>
      <c r="D43">
        <v>0.69056999999999991</v>
      </c>
      <c r="E43">
        <v>0.69056999999999991</v>
      </c>
    </row>
    <row r="44" spans="1:5 16360:16360">
      <c r="A44" t="s">
        <v>111</v>
      </c>
      <c r="B44">
        <v>0.13961999999999999</v>
      </c>
      <c r="C44">
        <v>0.13961999999999999</v>
      </c>
      <c r="D44">
        <v>0.20942999999999998</v>
      </c>
      <c r="E44">
        <v>0.20942999999999998</v>
      </c>
    </row>
    <row r="45" spans="1:5 16360:16360">
      <c r="A45" t="s">
        <v>112</v>
      </c>
      <c r="B45">
        <v>0.3417</v>
      </c>
      <c r="C45">
        <v>0.32130000000000003</v>
      </c>
      <c r="D45">
        <v>0.42330000000000001</v>
      </c>
      <c r="E45">
        <v>0.37739999999999996</v>
      </c>
    </row>
    <row r="46" spans="1:5 16360:16360">
      <c r="A46" t="s">
        <v>113</v>
      </c>
      <c r="B46">
        <v>0.9</v>
      </c>
      <c r="C46">
        <v>0.9</v>
      </c>
      <c r="D46">
        <v>0.9</v>
      </c>
      <c r="E46">
        <v>0.9</v>
      </c>
      <c r="XEF46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3912F-80A7-46E5-AACF-6A68470094D6}">
  <dimension ref="A1:CR46"/>
  <sheetViews>
    <sheetView tabSelected="1" topLeftCell="A19" workbookViewId="0">
      <selection activeCell="B43" sqref="B43"/>
    </sheetView>
  </sheetViews>
  <sheetFormatPr baseColWidth="10" defaultRowHeight="15"/>
  <cols>
    <col min="1" max="1" width="31.5703125" bestFit="1" customWidth="1"/>
    <col min="2" max="2" width="20.42578125" bestFit="1" customWidth="1"/>
  </cols>
  <sheetData>
    <row r="1" spans="1:96">
      <c r="A1" t="s">
        <v>64</v>
      </c>
      <c r="B1" s="3">
        <v>43374</v>
      </c>
      <c r="C1" s="3">
        <v>43405</v>
      </c>
      <c r="D1" s="3">
        <v>43435</v>
      </c>
      <c r="E1" s="3">
        <v>43466</v>
      </c>
      <c r="F1" s="3">
        <v>43497</v>
      </c>
      <c r="G1" s="3">
        <v>43525</v>
      </c>
      <c r="H1" s="3">
        <v>43556</v>
      </c>
      <c r="I1" s="3">
        <v>43586</v>
      </c>
      <c r="J1" s="3">
        <v>43617</v>
      </c>
      <c r="K1" s="3">
        <v>43647</v>
      </c>
      <c r="L1" s="3">
        <v>43678</v>
      </c>
      <c r="M1" s="3">
        <v>43709</v>
      </c>
      <c r="N1" s="3">
        <v>43739</v>
      </c>
      <c r="O1" s="3">
        <v>43770</v>
      </c>
      <c r="P1" s="3">
        <v>43800</v>
      </c>
      <c r="Q1" s="3">
        <v>43831</v>
      </c>
      <c r="R1" s="3">
        <v>43862</v>
      </c>
      <c r="S1" s="3">
        <v>43891</v>
      </c>
      <c r="T1" s="3">
        <v>43922</v>
      </c>
      <c r="U1" s="3">
        <v>43952</v>
      </c>
      <c r="V1" s="3">
        <v>43983</v>
      </c>
      <c r="W1" s="3">
        <v>44013</v>
      </c>
      <c r="X1" s="3">
        <v>44044</v>
      </c>
      <c r="Y1" s="3">
        <v>44075</v>
      </c>
      <c r="Z1" s="3">
        <v>44105</v>
      </c>
      <c r="AA1" s="3">
        <v>44136</v>
      </c>
      <c r="AB1" s="3">
        <v>44166</v>
      </c>
      <c r="AC1" s="3">
        <v>44197</v>
      </c>
      <c r="AD1" s="3">
        <v>44228</v>
      </c>
      <c r="AE1" s="3">
        <v>44256</v>
      </c>
      <c r="AF1" s="3">
        <v>44287</v>
      </c>
      <c r="AG1" s="3">
        <v>44317</v>
      </c>
      <c r="AH1" s="3">
        <v>44348</v>
      </c>
      <c r="AI1" s="3">
        <v>44378</v>
      </c>
      <c r="AJ1" s="3">
        <v>44409</v>
      </c>
      <c r="AK1" s="3">
        <v>44440</v>
      </c>
      <c r="AL1" s="3">
        <v>44470</v>
      </c>
      <c r="AM1" s="3">
        <v>44501</v>
      </c>
      <c r="AN1" s="3">
        <v>44531</v>
      </c>
      <c r="AO1" s="3">
        <v>44562</v>
      </c>
      <c r="AP1" s="3">
        <v>44593</v>
      </c>
      <c r="AQ1" s="3">
        <v>44621</v>
      </c>
      <c r="AR1" s="3">
        <v>44652</v>
      </c>
      <c r="AS1" s="3">
        <v>44682</v>
      </c>
      <c r="AT1" s="3">
        <v>44713</v>
      </c>
      <c r="AU1" s="3">
        <v>44743</v>
      </c>
      <c r="AV1" s="3">
        <v>44774</v>
      </c>
      <c r="AW1" s="3">
        <v>44805</v>
      </c>
      <c r="AX1" s="3">
        <v>44835</v>
      </c>
      <c r="AY1" s="3">
        <v>44866</v>
      </c>
      <c r="AZ1" s="3">
        <v>44896</v>
      </c>
      <c r="BA1" s="3">
        <v>44927</v>
      </c>
      <c r="BB1" s="3">
        <v>44958</v>
      </c>
      <c r="BC1" s="3">
        <v>44986</v>
      </c>
      <c r="BD1" s="3">
        <v>45017</v>
      </c>
      <c r="BE1" s="3">
        <v>45047</v>
      </c>
      <c r="BF1" s="3">
        <v>45078</v>
      </c>
      <c r="BG1" s="3">
        <v>45108</v>
      </c>
      <c r="BH1" s="3">
        <v>45139</v>
      </c>
      <c r="BI1" s="3">
        <v>45170</v>
      </c>
      <c r="BJ1" s="3">
        <v>45200</v>
      </c>
      <c r="BK1" s="3">
        <v>45231</v>
      </c>
      <c r="BL1" s="3">
        <v>45261</v>
      </c>
      <c r="BM1" s="3">
        <v>45292</v>
      </c>
      <c r="BN1" s="3">
        <v>45323</v>
      </c>
      <c r="BO1" s="3">
        <v>45352</v>
      </c>
      <c r="BP1" s="3">
        <v>45383</v>
      </c>
      <c r="BQ1" s="3">
        <v>45413</v>
      </c>
      <c r="BR1" s="3">
        <v>45444</v>
      </c>
      <c r="BS1" s="3">
        <v>45474</v>
      </c>
      <c r="BT1" s="3">
        <v>45505</v>
      </c>
      <c r="BU1" s="3">
        <v>45536</v>
      </c>
      <c r="BV1" s="3">
        <v>45566</v>
      </c>
      <c r="BW1" s="3">
        <v>45597</v>
      </c>
      <c r="BX1" s="3">
        <v>45627</v>
      </c>
      <c r="BY1" s="3">
        <v>45658</v>
      </c>
      <c r="BZ1" s="3">
        <v>45689</v>
      </c>
      <c r="CA1" s="3">
        <v>45717</v>
      </c>
      <c r="CB1" s="3">
        <v>45748</v>
      </c>
      <c r="CC1" s="3">
        <v>45778</v>
      </c>
      <c r="CD1" s="3">
        <v>45809</v>
      </c>
      <c r="CE1" s="3">
        <v>45839</v>
      </c>
      <c r="CF1" s="3">
        <v>45870</v>
      </c>
      <c r="CG1" s="3">
        <v>45901</v>
      </c>
      <c r="CH1" s="3">
        <v>45931</v>
      </c>
      <c r="CI1" s="3">
        <v>45962</v>
      </c>
      <c r="CJ1" s="3">
        <v>45992</v>
      </c>
      <c r="CK1" s="3">
        <v>46023</v>
      </c>
      <c r="CL1" s="3">
        <v>46054</v>
      </c>
      <c r="CM1" s="3">
        <v>46082</v>
      </c>
      <c r="CN1" s="3">
        <v>46113</v>
      </c>
      <c r="CO1" s="3">
        <v>46143</v>
      </c>
      <c r="CP1" s="3">
        <v>46174</v>
      </c>
      <c r="CQ1" s="3">
        <v>46204</v>
      </c>
      <c r="CR1" s="3">
        <v>46235</v>
      </c>
    </row>
    <row r="2" spans="1:96">
      <c r="A2" t="s">
        <v>69</v>
      </c>
      <c r="B2" s="4">
        <v>30.66</v>
      </c>
      <c r="C2" s="4">
        <v>31.3</v>
      </c>
      <c r="D2" s="4">
        <v>33.520000000000003</v>
      </c>
      <c r="E2" s="4">
        <v>35.36</v>
      </c>
      <c r="F2" s="4">
        <v>36.25</v>
      </c>
      <c r="G2" s="4">
        <v>39.65</v>
      </c>
      <c r="H2" s="4">
        <v>42.25</v>
      </c>
      <c r="I2" s="4">
        <v>44.32</v>
      </c>
      <c r="J2" s="4">
        <v>44.77</v>
      </c>
      <c r="K2" s="5">
        <v>46.88</v>
      </c>
      <c r="L2" s="5">
        <v>48.37</v>
      </c>
      <c r="M2" s="5">
        <v>47.98</v>
      </c>
      <c r="N2" s="5">
        <v>48.97</v>
      </c>
      <c r="O2" s="5">
        <v>50.04</v>
      </c>
      <c r="P2" s="5">
        <v>50.98</v>
      </c>
      <c r="Q2" s="5">
        <v>55.02</v>
      </c>
      <c r="R2" s="5">
        <v>54.01</v>
      </c>
      <c r="S2" s="6">
        <v>55.72</v>
      </c>
      <c r="T2" s="7">
        <v>54.84</v>
      </c>
      <c r="U2" s="7">
        <v>54.58</v>
      </c>
      <c r="V2" s="7">
        <v>54.87</v>
      </c>
      <c r="W2" s="7">
        <v>55.89</v>
      </c>
      <c r="X2" s="7">
        <v>56</v>
      </c>
      <c r="Y2" s="7">
        <v>55.94</v>
      </c>
      <c r="Z2" s="7">
        <v>57.05</v>
      </c>
      <c r="AA2" s="7">
        <v>57.45</v>
      </c>
      <c r="AB2" s="7">
        <v>57.3</v>
      </c>
      <c r="AC2" s="7">
        <v>58</v>
      </c>
      <c r="AD2" s="8">
        <v>62.05</v>
      </c>
      <c r="AE2" s="8">
        <v>69.52</v>
      </c>
      <c r="AF2" s="8">
        <v>76.349999999999994</v>
      </c>
      <c r="AG2" s="8">
        <v>77.209999999999994</v>
      </c>
      <c r="AH2" s="8">
        <v>84.1</v>
      </c>
      <c r="AI2" s="8">
        <v>84.92</v>
      </c>
      <c r="AJ2" s="8">
        <v>86.7</v>
      </c>
      <c r="AK2" s="8">
        <v>93.73</v>
      </c>
      <c r="AL2" s="8">
        <v>93.28</v>
      </c>
      <c r="AM2" s="8">
        <v>89.46</v>
      </c>
      <c r="AN2" s="8">
        <v>90.29</v>
      </c>
      <c r="AO2" s="8">
        <v>91.22</v>
      </c>
      <c r="AP2" s="8">
        <v>95.44</v>
      </c>
      <c r="AQ2" s="8">
        <v>108.75</v>
      </c>
      <c r="AR2" s="8">
        <v>117.5</v>
      </c>
      <c r="AS2" s="8">
        <v>125.69</v>
      </c>
      <c r="AT2" s="8">
        <v>132.51</v>
      </c>
      <c r="AU2" s="8">
        <v>142.41999999999999</v>
      </c>
      <c r="AV2" s="8">
        <v>153.88999999999999</v>
      </c>
      <c r="AW2" s="8">
        <v>171.06</v>
      </c>
      <c r="AX2" s="8">
        <v>200.61</v>
      </c>
      <c r="AY2" s="8">
        <v>210.21</v>
      </c>
      <c r="AZ2" s="8">
        <v>216.31</v>
      </c>
      <c r="BA2" s="8">
        <v>225.27</v>
      </c>
      <c r="BB2" s="8">
        <v>236.04</v>
      </c>
      <c r="BC2" s="8">
        <v>251.87</v>
      </c>
      <c r="BD2" s="8">
        <v>271.29000000000002</v>
      </c>
      <c r="BE2" s="8">
        <v>293.3</v>
      </c>
      <c r="BF2" s="8">
        <v>309.63</v>
      </c>
      <c r="BG2" s="8">
        <v>330.57</v>
      </c>
      <c r="BH2" s="8">
        <v>357.21</v>
      </c>
      <c r="BI2" s="8">
        <v>381.93</v>
      </c>
      <c r="BJ2" s="8">
        <v>413.3</v>
      </c>
      <c r="BK2" s="8">
        <v>457.1</v>
      </c>
      <c r="BL2" s="8">
        <v>614.66</v>
      </c>
      <c r="BM2" s="8">
        <v>842.24</v>
      </c>
      <c r="BN2" s="8">
        <v>1018.87</v>
      </c>
      <c r="BO2" s="8">
        <v>1210.72</v>
      </c>
      <c r="BP2" s="8">
        <v>1276.28</v>
      </c>
      <c r="BQ2" s="8">
        <v>1320.05</v>
      </c>
      <c r="BR2" s="8">
        <v>1355.43</v>
      </c>
      <c r="BS2" s="8">
        <v>1305.07</v>
      </c>
      <c r="BT2" s="8">
        <v>1353.44</v>
      </c>
      <c r="BU2" s="8">
        <v>1358.1</v>
      </c>
      <c r="BV2" s="8">
        <v>1390.63</v>
      </c>
      <c r="BW2" s="8">
        <v>1428.74</v>
      </c>
      <c r="BX2" s="8">
        <v>1454.57</v>
      </c>
      <c r="BY2" s="8">
        <v>1483.06</v>
      </c>
      <c r="BZ2" s="8">
        <v>1496.62</v>
      </c>
      <c r="CA2" s="8">
        <v>1486.19</v>
      </c>
      <c r="CB2" s="8">
        <v>1536.03</v>
      </c>
      <c r="CC2" s="8">
        <v>1543.94</v>
      </c>
      <c r="CD2" s="8">
        <v>1574.27</v>
      </c>
      <c r="CE2" s="8">
        <v>1584.36</v>
      </c>
      <c r="CF2" s="8">
        <v>1616.51</v>
      </c>
      <c r="CG2" s="8">
        <v>1580.18</v>
      </c>
      <c r="CH2" s="8">
        <v>1591.71</v>
      </c>
      <c r="CI2" s="8">
        <v>1561.92</v>
      </c>
      <c r="CJ2" s="8">
        <v>1616.31</v>
      </c>
      <c r="CK2" s="8">
        <v>1655.28</v>
      </c>
      <c r="CL2" s="8">
        <v>1692.46</v>
      </c>
      <c r="CM2" s="8">
        <v>1735.73</v>
      </c>
      <c r="CN2" s="8">
        <v>1819.68</v>
      </c>
      <c r="CO2" s="8">
        <v>1918.61</v>
      </c>
      <c r="CP2" s="8">
        <v>1926.42</v>
      </c>
      <c r="CQ2" s="8">
        <v>1998.81</v>
      </c>
      <c r="CR2" s="8">
        <v>2008.4</v>
      </c>
    </row>
    <row r="3" spans="1:96">
      <c r="A3" t="s">
        <v>70</v>
      </c>
      <c r="B3" s="4">
        <v>140.29995162070634</v>
      </c>
      <c r="C3" s="4">
        <v>170.29511369134013</v>
      </c>
      <c r="D3" s="4">
        <v>177.8906627963232</v>
      </c>
      <c r="E3" s="4">
        <v>177.93904208998549</v>
      </c>
      <c r="F3" s="4">
        <v>178.32607643928398</v>
      </c>
      <c r="G3" s="4">
        <v>181.56748911465894</v>
      </c>
      <c r="H3" s="4">
        <v>185.38945331398162</v>
      </c>
      <c r="I3" s="4">
        <v>209.77261731978714</v>
      </c>
      <c r="J3" s="4">
        <v>248.95984518626028</v>
      </c>
      <c r="K3" s="5">
        <v>254.13642960812774</v>
      </c>
      <c r="L3" s="5">
        <v>256.94242864054183</v>
      </c>
      <c r="M3" s="5">
        <v>244.21867440735363</v>
      </c>
      <c r="N3" s="5">
        <v>263.52201257861634</v>
      </c>
      <c r="O3" s="5">
        <v>265.36042573778423</v>
      </c>
      <c r="P3" s="5">
        <v>271.45621673923563</v>
      </c>
      <c r="Q3" s="5">
        <v>303.19303338171267</v>
      </c>
      <c r="R3" s="5">
        <v>305.85389453313979</v>
      </c>
      <c r="S3" s="6">
        <v>312.09482341557816</v>
      </c>
      <c r="T3" s="7">
        <v>308.51475568456704</v>
      </c>
      <c r="U3" s="7">
        <v>310.88534107402035</v>
      </c>
      <c r="V3" s="7">
        <v>314.32027092404451</v>
      </c>
      <c r="W3" s="7">
        <v>312.19158200290275</v>
      </c>
      <c r="X3" s="7">
        <v>332.12385099177556</v>
      </c>
      <c r="Y3" s="7">
        <v>322.98016448959851</v>
      </c>
      <c r="Z3" s="7">
        <v>341.31591678761487</v>
      </c>
      <c r="AA3" s="7">
        <v>363.52201257861634</v>
      </c>
      <c r="AB3" s="7">
        <v>351.28205128205127</v>
      </c>
      <c r="AC3" s="7">
        <v>365.98935655539435</v>
      </c>
      <c r="AD3" s="8">
        <v>332.02709240445085</v>
      </c>
      <c r="AE3" s="8">
        <v>367.8761490082245</v>
      </c>
      <c r="AF3" s="8">
        <v>379.97097242380266</v>
      </c>
      <c r="AG3" s="8">
        <v>370.97242380261252</v>
      </c>
      <c r="AH3" s="8">
        <v>397.48427672955972</v>
      </c>
      <c r="AI3" s="8">
        <v>440.83212385099182</v>
      </c>
      <c r="AJ3" s="8">
        <v>480.648282535075</v>
      </c>
      <c r="AK3" s="8">
        <v>495.59748427672957</v>
      </c>
      <c r="AL3" s="8">
        <v>531.83357522980168</v>
      </c>
      <c r="AM3" s="8">
        <v>538.50991775520083</v>
      </c>
      <c r="AN3" s="8">
        <v>588.53410740203196</v>
      </c>
      <c r="AO3" s="8">
        <v>607.59554910498309</v>
      </c>
      <c r="AP3" s="8">
        <v>624.77019835510396</v>
      </c>
      <c r="AQ3" s="8">
        <v>645.42815674891142</v>
      </c>
      <c r="AR3" s="8">
        <v>703.09627479438814</v>
      </c>
      <c r="AS3" s="8">
        <v>702.6608611514273</v>
      </c>
      <c r="AT3" s="8">
        <v>708.2244799225931</v>
      </c>
      <c r="AU3" s="8">
        <v>767.48911465892593</v>
      </c>
      <c r="AV3" s="8">
        <v>865.40880503144649</v>
      </c>
      <c r="AW3" s="8">
        <v>940.54184808901789</v>
      </c>
      <c r="AX3" s="8">
        <v>1028.3986453797775</v>
      </c>
      <c r="AY3" s="8">
        <v>1098.3067247218191</v>
      </c>
      <c r="AZ3" s="8">
        <v>1168.9888727624577</v>
      </c>
      <c r="BA3" s="8">
        <v>1236.3328495403969</v>
      </c>
      <c r="BB3" s="8">
        <v>1358.2970488630865</v>
      </c>
      <c r="BC3" s="8">
        <v>1417.5133043057572</v>
      </c>
      <c r="BD3" s="8">
        <v>1501.5481373971941</v>
      </c>
      <c r="BE3" s="8">
        <v>1599.5162070633769</v>
      </c>
      <c r="BF3" s="8">
        <v>1794.2912433478471</v>
      </c>
      <c r="BG3" s="8">
        <v>2094.6298984034834</v>
      </c>
      <c r="BH3" s="8">
        <v>2237.9777455249155</v>
      </c>
      <c r="BI3" s="8">
        <v>2306.6763425253994</v>
      </c>
      <c r="BJ3" s="8">
        <v>2569.6661828737301</v>
      </c>
      <c r="BK3" s="8">
        <v>2906.5795839380744</v>
      </c>
      <c r="BL3" s="8">
        <v>3761.5384615384614</v>
      </c>
      <c r="BM3" s="8">
        <v>4955.0556361877116</v>
      </c>
      <c r="BN3" s="8">
        <v>5309.530720851476</v>
      </c>
      <c r="BO3" s="8">
        <v>6029.8984034833102</v>
      </c>
      <c r="BP3" s="8">
        <v>6478.1809385582974</v>
      </c>
      <c r="BQ3" s="8">
        <v>6619.7387518142232</v>
      </c>
      <c r="BR3" s="8">
        <v>6643.6381228834061</v>
      </c>
      <c r="BS3" s="8">
        <v>6993.9042089985496</v>
      </c>
      <c r="BT3" s="8">
        <v>7683.6477987421385</v>
      </c>
      <c r="BU3" s="8">
        <v>8312.7237542331877</v>
      </c>
      <c r="BV3" s="8">
        <v>8560.3289791969037</v>
      </c>
      <c r="BW3" s="8">
        <v>8974.4073536526375</v>
      </c>
      <c r="BX3" s="8">
        <v>9002.9511369134016</v>
      </c>
      <c r="BY3" s="8">
        <v>9435.0749879051764</v>
      </c>
      <c r="BZ3" s="8">
        <v>9399.709724238026</v>
      </c>
      <c r="CA3" s="8">
        <v>9499.709724238026</v>
      </c>
      <c r="CB3" s="8">
        <v>9787.8567972907604</v>
      </c>
      <c r="CC3" s="8">
        <v>9985.1959361393328</v>
      </c>
      <c r="CD3" s="8">
        <v>10297.000483792935</v>
      </c>
      <c r="CE3" s="8">
        <v>10240.97726173198</v>
      </c>
      <c r="CF3" s="8">
        <v>10464.247701983551</v>
      </c>
      <c r="CG3" s="8">
        <v>10765.602322206096</v>
      </c>
      <c r="CH3" s="8">
        <v>11197.000483792937</v>
      </c>
      <c r="CI3" s="8">
        <v>10990.130624092888</v>
      </c>
      <c r="CJ3" s="8">
        <v>11420.31930333817</v>
      </c>
      <c r="CK3" s="8">
        <v>11536.623125302371</v>
      </c>
      <c r="CL3" s="8">
        <v>11845.863570391872</v>
      </c>
      <c r="CM3" s="8">
        <v>12178.277697145622</v>
      </c>
      <c r="CN3" s="8">
        <v>12457.764876632802</v>
      </c>
      <c r="CO3" s="8">
        <v>12980.503144654089</v>
      </c>
      <c r="CP3" s="8">
        <v>12753.265602322206</v>
      </c>
      <c r="CQ3" s="8">
        <v>13417.368166424771</v>
      </c>
      <c r="CR3" s="8">
        <v>13228.108369617805</v>
      </c>
    </row>
    <row r="4" spans="1:96">
      <c r="A4" t="s">
        <v>71</v>
      </c>
      <c r="B4" s="4">
        <v>198.33</v>
      </c>
      <c r="C4" s="4">
        <v>205.63</v>
      </c>
      <c r="D4" s="4">
        <v>214.22</v>
      </c>
      <c r="E4" s="4">
        <v>224.6</v>
      </c>
      <c r="F4" s="4">
        <v>243.98</v>
      </c>
      <c r="G4" s="4">
        <v>266.89999999999998</v>
      </c>
      <c r="H4" s="4">
        <v>308.39999999999998</v>
      </c>
      <c r="I4" s="4">
        <v>325.76</v>
      </c>
      <c r="J4" s="4">
        <v>336.91</v>
      </c>
      <c r="K4" s="5">
        <v>342.24</v>
      </c>
      <c r="L4" s="5">
        <v>344.56</v>
      </c>
      <c r="M4" s="5">
        <v>358.16</v>
      </c>
      <c r="N4" s="5">
        <v>354.69</v>
      </c>
      <c r="O4" s="5">
        <v>350</v>
      </c>
      <c r="P4" s="5">
        <v>343.81</v>
      </c>
      <c r="Q4" s="5">
        <v>361.3</v>
      </c>
      <c r="R4" s="5">
        <v>370</v>
      </c>
      <c r="S4" s="6">
        <v>383.79</v>
      </c>
      <c r="T4" s="7">
        <v>419.18</v>
      </c>
      <c r="U4" s="7">
        <v>412.19</v>
      </c>
      <c r="V4" s="7">
        <v>410.83</v>
      </c>
      <c r="W4" s="7">
        <v>411.82</v>
      </c>
      <c r="X4" s="7">
        <v>414.27</v>
      </c>
      <c r="Y4" s="7">
        <v>410.83</v>
      </c>
      <c r="Z4" s="7">
        <v>415.14</v>
      </c>
      <c r="AA4" s="7">
        <v>422.89</v>
      </c>
      <c r="AB4" s="7">
        <v>428.56</v>
      </c>
      <c r="AC4" s="7">
        <v>444.67</v>
      </c>
      <c r="AD4" s="8">
        <v>467.14</v>
      </c>
      <c r="AE4" s="8">
        <v>540.78</v>
      </c>
      <c r="AF4" s="8">
        <v>591.20000000000005</v>
      </c>
      <c r="AG4" s="8">
        <v>622.96</v>
      </c>
      <c r="AH4" s="8">
        <v>655.29999999999995</v>
      </c>
      <c r="AI4" s="8">
        <v>672.43</v>
      </c>
      <c r="AJ4" s="8">
        <v>679.38</v>
      </c>
      <c r="AK4" s="8">
        <v>703.28</v>
      </c>
      <c r="AL4" s="8">
        <v>711.93</v>
      </c>
      <c r="AM4" s="8">
        <v>716.8</v>
      </c>
      <c r="AN4" s="8">
        <v>713.08</v>
      </c>
      <c r="AO4" s="8">
        <v>735.72</v>
      </c>
      <c r="AP4" s="8">
        <v>771.08</v>
      </c>
      <c r="AQ4" s="8">
        <v>871.94</v>
      </c>
      <c r="AR4" s="8">
        <v>946.28</v>
      </c>
      <c r="AS4" s="8">
        <v>993.61</v>
      </c>
      <c r="AT4" s="8">
        <v>1055.46</v>
      </c>
      <c r="AU4" s="8">
        <v>1123.6400000000001</v>
      </c>
      <c r="AV4" s="8">
        <v>1185.8399999999999</v>
      </c>
      <c r="AW4" s="8">
        <v>1233.83</v>
      </c>
      <c r="AX4" s="8">
        <v>1281.44</v>
      </c>
      <c r="AY4" s="8">
        <v>1355.25</v>
      </c>
      <c r="AZ4" s="8">
        <v>1403.14</v>
      </c>
      <c r="BA4" s="8">
        <v>1454.26</v>
      </c>
      <c r="BB4" s="8">
        <v>1598.01</v>
      </c>
      <c r="BC4" s="8">
        <v>1728.86</v>
      </c>
      <c r="BD4" s="8">
        <v>1915.94</v>
      </c>
      <c r="BE4" s="8">
        <v>2099.1799999999998</v>
      </c>
      <c r="BF4" s="8">
        <v>2234.23</v>
      </c>
      <c r="BG4" s="8">
        <v>2354.9</v>
      </c>
      <c r="BH4" s="8">
        <v>2477.96</v>
      </c>
      <c r="BI4" s="8">
        <v>2624.97</v>
      </c>
      <c r="BJ4" s="8">
        <v>2818.15</v>
      </c>
      <c r="BK4" s="8">
        <v>3115.09</v>
      </c>
      <c r="BL4" s="8">
        <v>4014.06</v>
      </c>
      <c r="BM4" s="8">
        <v>4972.5200000000004</v>
      </c>
      <c r="BN4" s="8">
        <v>6118.99</v>
      </c>
      <c r="BO4" s="8">
        <v>6997.99</v>
      </c>
      <c r="BP4" s="8">
        <v>8152.2</v>
      </c>
      <c r="BQ4" s="8">
        <v>8601.94</v>
      </c>
      <c r="BR4" s="8">
        <v>8999.59</v>
      </c>
      <c r="BS4" s="8">
        <v>9181.15</v>
      </c>
      <c r="BT4" s="8">
        <v>9422.98</v>
      </c>
      <c r="BU4" s="8">
        <v>9658.26</v>
      </c>
      <c r="BV4" s="8">
        <v>9634.82</v>
      </c>
      <c r="BW4" s="8">
        <v>9687.15</v>
      </c>
      <c r="BX4" s="8">
        <v>9725.6299999999992</v>
      </c>
      <c r="BY4" s="8">
        <v>9909.77</v>
      </c>
      <c r="BZ4" s="8">
        <v>10082.89</v>
      </c>
      <c r="CA4" s="8">
        <v>10384.129999999999</v>
      </c>
      <c r="CB4" s="8">
        <v>10605.85</v>
      </c>
      <c r="CC4" s="8">
        <v>10861.89</v>
      </c>
      <c r="CD4" s="8">
        <v>10962.63</v>
      </c>
      <c r="CE4" s="8">
        <v>11158.01</v>
      </c>
      <c r="CF4" s="8">
        <v>11311.27</v>
      </c>
      <c r="CG4" s="8">
        <v>11290.15</v>
      </c>
      <c r="CH4" s="8">
        <v>11363.22</v>
      </c>
      <c r="CI4" s="8">
        <v>11462.05</v>
      </c>
      <c r="CJ4" s="8">
        <v>11526.22</v>
      </c>
      <c r="CK4" s="8">
        <v>11630.68</v>
      </c>
      <c r="CL4" s="8">
        <v>11893.09</v>
      </c>
      <c r="CM4" s="8">
        <v>11953.38</v>
      </c>
      <c r="CN4" s="8">
        <v>12584.45</v>
      </c>
      <c r="CO4" s="8">
        <v>13132.73</v>
      </c>
      <c r="CP4" s="8">
        <v>13419.82</v>
      </c>
      <c r="CQ4" s="8">
        <v>14003.61</v>
      </c>
      <c r="CR4" s="8">
        <v>14326.89</v>
      </c>
    </row>
    <row r="5" spans="1:96">
      <c r="A5" t="s">
        <v>72</v>
      </c>
      <c r="B5" s="4">
        <f>+B4*1.37831325301204</f>
        <v>273.36086746987792</v>
      </c>
      <c r="C5" s="4">
        <f t="shared" ref="C5:BN5" si="0">+C4*1.37831325301204</f>
        <v>283.42255421686582</v>
      </c>
      <c r="D5" s="4">
        <f t="shared" si="0"/>
        <v>295.26226506023926</v>
      </c>
      <c r="E5" s="4">
        <f t="shared" si="0"/>
        <v>309.5691566265042</v>
      </c>
      <c r="F5" s="4">
        <f t="shared" si="0"/>
        <v>336.28086746987753</v>
      </c>
      <c r="G5" s="4">
        <f t="shared" si="0"/>
        <v>367.8718072289135</v>
      </c>
      <c r="H5" s="4">
        <f t="shared" si="0"/>
        <v>425.07180722891314</v>
      </c>
      <c r="I5" s="4">
        <f t="shared" si="0"/>
        <v>448.99932530120219</v>
      </c>
      <c r="J5" s="4">
        <f t="shared" si="0"/>
        <v>464.36751807228649</v>
      </c>
      <c r="K5" s="4">
        <f t="shared" si="0"/>
        <v>471.71392771084061</v>
      </c>
      <c r="L5" s="4">
        <f t="shared" si="0"/>
        <v>474.91161445782853</v>
      </c>
      <c r="M5" s="4">
        <f t="shared" si="0"/>
        <v>493.6566746987923</v>
      </c>
      <c r="N5" s="4">
        <f t="shared" si="0"/>
        <v>488.87392771084052</v>
      </c>
      <c r="O5" s="4">
        <f t="shared" si="0"/>
        <v>482.40963855421404</v>
      </c>
      <c r="P5" s="4">
        <f t="shared" si="0"/>
        <v>473.87787951806951</v>
      </c>
      <c r="Q5" s="4">
        <f t="shared" si="0"/>
        <v>497.9845783132501</v>
      </c>
      <c r="R5" s="4">
        <f t="shared" si="0"/>
        <v>509.97590361445486</v>
      </c>
      <c r="S5" s="4">
        <f t="shared" si="0"/>
        <v>528.98284337349094</v>
      </c>
      <c r="T5" s="4">
        <f t="shared" si="0"/>
        <v>577.76134939758697</v>
      </c>
      <c r="U5" s="4">
        <f t="shared" si="0"/>
        <v>568.12693975903278</v>
      </c>
      <c r="V5" s="4">
        <f t="shared" si="0"/>
        <v>566.2524337349364</v>
      </c>
      <c r="W5" s="4">
        <f t="shared" si="0"/>
        <v>567.61696385541836</v>
      </c>
      <c r="X5" s="4">
        <f t="shared" si="0"/>
        <v>570.99383132529783</v>
      </c>
      <c r="Y5" s="4">
        <f t="shared" si="0"/>
        <v>566.2524337349364</v>
      </c>
      <c r="Z5" s="4">
        <f t="shared" si="0"/>
        <v>572.19296385541827</v>
      </c>
      <c r="AA5" s="4">
        <f t="shared" si="0"/>
        <v>582.87489156626157</v>
      </c>
      <c r="AB5" s="4">
        <f t="shared" si="0"/>
        <v>590.68992771083992</v>
      </c>
      <c r="AC5" s="4">
        <f t="shared" si="0"/>
        <v>612.89455421686387</v>
      </c>
      <c r="AD5" s="4">
        <f t="shared" si="0"/>
        <v>643.86525301204438</v>
      </c>
      <c r="AE5" s="4">
        <f t="shared" si="0"/>
        <v>745.36424096385099</v>
      </c>
      <c r="AF5" s="4">
        <f t="shared" si="0"/>
        <v>814.85879518071818</v>
      </c>
      <c r="AG5" s="4">
        <f t="shared" si="0"/>
        <v>858.63402409638059</v>
      </c>
      <c r="AH5" s="4">
        <f t="shared" si="0"/>
        <v>903.20867469878976</v>
      </c>
      <c r="AI5" s="4">
        <f t="shared" si="0"/>
        <v>926.81918072288602</v>
      </c>
      <c r="AJ5" s="4">
        <f t="shared" si="0"/>
        <v>936.39845783131977</v>
      </c>
      <c r="AK5" s="4">
        <f t="shared" si="0"/>
        <v>969.34014457830756</v>
      </c>
      <c r="AL5" s="4">
        <f t="shared" si="0"/>
        <v>981.26255421686164</v>
      </c>
      <c r="AM5" s="4">
        <f t="shared" si="0"/>
        <v>987.97493975903024</v>
      </c>
      <c r="AN5" s="4">
        <f t="shared" si="0"/>
        <v>982.84761445782567</v>
      </c>
      <c r="AO5" s="4">
        <f t="shared" si="0"/>
        <v>1014.0526265060182</v>
      </c>
      <c r="AP5" s="4">
        <f t="shared" si="0"/>
        <v>1062.789783132524</v>
      </c>
      <c r="AQ5" s="4">
        <f t="shared" si="0"/>
        <v>1201.8064578313183</v>
      </c>
      <c r="AR5" s="4">
        <f t="shared" si="0"/>
        <v>1304.2702650602332</v>
      </c>
      <c r="AS5" s="4">
        <f t="shared" si="0"/>
        <v>1369.5058313252932</v>
      </c>
      <c r="AT5" s="4">
        <f t="shared" si="0"/>
        <v>1454.754506024088</v>
      </c>
      <c r="AU5" s="4">
        <f t="shared" si="0"/>
        <v>1548.7279036144489</v>
      </c>
      <c r="AV5" s="4">
        <f t="shared" si="0"/>
        <v>1634.4589879517976</v>
      </c>
      <c r="AW5" s="4">
        <f t="shared" si="0"/>
        <v>1700.6042409638453</v>
      </c>
      <c r="AX5" s="4">
        <f t="shared" si="0"/>
        <v>1766.2257349397487</v>
      </c>
      <c r="AY5" s="4">
        <f t="shared" si="0"/>
        <v>1867.9590361445673</v>
      </c>
      <c r="AZ5" s="4">
        <f t="shared" si="0"/>
        <v>1933.9664578313141</v>
      </c>
      <c r="BA5" s="4">
        <f t="shared" si="0"/>
        <v>2004.4258313252894</v>
      </c>
      <c r="BB5" s="4">
        <f t="shared" si="0"/>
        <v>2202.5583614457701</v>
      </c>
      <c r="BC5" s="4">
        <f t="shared" si="0"/>
        <v>2382.9106506023954</v>
      </c>
      <c r="BD5" s="4">
        <f t="shared" si="0"/>
        <v>2640.7654939758881</v>
      </c>
      <c r="BE5" s="4">
        <f t="shared" si="0"/>
        <v>2893.327614457814</v>
      </c>
      <c r="BF5" s="4">
        <f t="shared" si="0"/>
        <v>3079.4688192770905</v>
      </c>
      <c r="BG5" s="4">
        <f t="shared" si="0"/>
        <v>3245.7898795180536</v>
      </c>
      <c r="BH5" s="4">
        <f t="shared" si="0"/>
        <v>3415.4051084337148</v>
      </c>
      <c r="BI5" s="4">
        <f t="shared" si="0"/>
        <v>3618.0309397590145</v>
      </c>
      <c r="BJ5" s="4">
        <f t="shared" si="0"/>
        <v>3884.2934939758811</v>
      </c>
      <c r="BK5" s="4">
        <f t="shared" si="0"/>
        <v>4293.569831325276</v>
      </c>
      <c r="BL5" s="4">
        <f t="shared" si="0"/>
        <v>5532.6320963855096</v>
      </c>
      <c r="BM5" s="4">
        <f t="shared" si="0"/>
        <v>6853.6902168674305</v>
      </c>
      <c r="BN5" s="4">
        <f t="shared" si="0"/>
        <v>8433.8850120481438</v>
      </c>
      <c r="BO5" s="4">
        <f t="shared" ref="BO5:CR5" si="1">+BO4*1.37831325301204</f>
        <v>9645.422361445726</v>
      </c>
      <c r="BP5" s="4">
        <f t="shared" si="1"/>
        <v>11236.285301204753</v>
      </c>
      <c r="BQ5" s="4">
        <f t="shared" si="1"/>
        <v>11856.167903614389</v>
      </c>
      <c r="BR5" s="4">
        <f t="shared" si="1"/>
        <v>12404.254168674626</v>
      </c>
      <c r="BS5" s="4">
        <f t="shared" si="1"/>
        <v>12654.500722891491</v>
      </c>
      <c r="BT5" s="4">
        <f t="shared" si="1"/>
        <v>12987.818216867394</v>
      </c>
      <c r="BU5" s="4">
        <f t="shared" si="1"/>
        <v>13312.107759036067</v>
      </c>
      <c r="BV5" s="4">
        <f t="shared" si="1"/>
        <v>13279.800096385465</v>
      </c>
      <c r="BW5" s="4">
        <f t="shared" si="1"/>
        <v>13351.927228915583</v>
      </c>
      <c r="BX5" s="4">
        <f t="shared" si="1"/>
        <v>13404.964722891487</v>
      </c>
      <c r="BY5" s="4">
        <f t="shared" si="1"/>
        <v>13658.767325301125</v>
      </c>
      <c r="BZ5" s="4">
        <f t="shared" si="1"/>
        <v>13897.380915662568</v>
      </c>
      <c r="CA5" s="4">
        <f t="shared" si="1"/>
        <v>14312.583999999915</v>
      </c>
      <c r="CB5" s="4">
        <f t="shared" si="1"/>
        <v>14618.183614457746</v>
      </c>
      <c r="CC5" s="4">
        <f t="shared" si="1"/>
        <v>14971.086939758947</v>
      </c>
      <c r="CD5" s="4">
        <f t="shared" si="1"/>
        <v>15109.93821686738</v>
      </c>
      <c r="CE5" s="4">
        <f t="shared" si="1"/>
        <v>15379.233060240875</v>
      </c>
      <c r="CF5" s="4">
        <f t="shared" si="1"/>
        <v>15590.4733493975</v>
      </c>
      <c r="CG5" s="4">
        <f t="shared" si="1"/>
        <v>15561.363373493885</v>
      </c>
      <c r="CH5" s="4">
        <f t="shared" si="1"/>
        <v>15662.076722891474</v>
      </c>
      <c r="CI5" s="4">
        <f t="shared" si="1"/>
        <v>15798.295421686653</v>
      </c>
      <c r="CJ5" s="4">
        <f t="shared" si="1"/>
        <v>15886.741783132436</v>
      </c>
      <c r="CK5" s="4">
        <f t="shared" si="1"/>
        <v>16030.720385542076</v>
      </c>
      <c r="CL5" s="4">
        <f t="shared" si="1"/>
        <v>16392.403566264966</v>
      </c>
      <c r="CM5" s="4">
        <f t="shared" si="1"/>
        <v>16475.502072289059</v>
      </c>
      <c r="CN5" s="4">
        <f t="shared" si="1"/>
        <v>17345.314216867369</v>
      </c>
      <c r="CO5" s="4">
        <f t="shared" si="1"/>
        <v>18101.01580722881</v>
      </c>
      <c r="CP5" s="4">
        <f t="shared" si="1"/>
        <v>18496.715759036037</v>
      </c>
      <c r="CQ5" s="4">
        <f t="shared" si="1"/>
        <v>19301.361253011935</v>
      </c>
      <c r="CR5" s="4">
        <f t="shared" si="1"/>
        <v>19746.942361445668</v>
      </c>
    </row>
    <row r="6" spans="1:96">
      <c r="A6" t="s">
        <v>73</v>
      </c>
      <c r="B6" s="4">
        <f>+B4*0.404819277108433</f>
        <v>80.287807228915526</v>
      </c>
      <c r="C6" s="4">
        <f t="shared" ref="C6:BN6" si="2">+C4*0.404819277108433</f>
        <v>83.242987951807081</v>
      </c>
      <c r="D6" s="4">
        <f t="shared" si="2"/>
        <v>86.720385542168515</v>
      </c>
      <c r="E6" s="4">
        <f t="shared" si="2"/>
        <v>90.922409638554058</v>
      </c>
      <c r="F6" s="4">
        <f t="shared" si="2"/>
        <v>98.767807228915487</v>
      </c>
      <c r="G6" s="4">
        <f t="shared" si="2"/>
        <v>108.04626506024076</v>
      </c>
      <c r="H6" s="4">
        <f t="shared" si="2"/>
        <v>124.84626506024074</v>
      </c>
      <c r="I6" s="4">
        <f t="shared" si="2"/>
        <v>131.87392771084313</v>
      </c>
      <c r="J6" s="4">
        <f t="shared" si="2"/>
        <v>136.38766265060218</v>
      </c>
      <c r="K6" s="4">
        <f t="shared" si="2"/>
        <v>138.54534939759012</v>
      </c>
      <c r="L6" s="4">
        <f t="shared" si="2"/>
        <v>139.48453012048168</v>
      </c>
      <c r="M6" s="4">
        <f t="shared" si="2"/>
        <v>144.99007228915639</v>
      </c>
      <c r="N6" s="4">
        <f t="shared" si="2"/>
        <v>143.58534939759011</v>
      </c>
      <c r="O6" s="4">
        <f t="shared" si="2"/>
        <v>141.68674698795155</v>
      </c>
      <c r="P6" s="4">
        <f t="shared" si="2"/>
        <v>139.18091566265036</v>
      </c>
      <c r="Q6" s="4">
        <f t="shared" si="2"/>
        <v>146.26120481927686</v>
      </c>
      <c r="R6" s="4">
        <f t="shared" si="2"/>
        <v>149.78313253012021</v>
      </c>
      <c r="S6" s="4">
        <f t="shared" si="2"/>
        <v>155.36559036144553</v>
      </c>
      <c r="T6" s="4">
        <f t="shared" si="2"/>
        <v>169.69214457831296</v>
      </c>
      <c r="U6" s="4">
        <f t="shared" si="2"/>
        <v>166.862457831325</v>
      </c>
      <c r="V6" s="4">
        <f t="shared" si="2"/>
        <v>166.31190361445752</v>
      </c>
      <c r="W6" s="4">
        <f t="shared" si="2"/>
        <v>166.71267469879487</v>
      </c>
      <c r="X6" s="4">
        <f t="shared" si="2"/>
        <v>167.70448192771053</v>
      </c>
      <c r="Y6" s="4">
        <f t="shared" si="2"/>
        <v>166.31190361445752</v>
      </c>
      <c r="Z6" s="4">
        <f t="shared" si="2"/>
        <v>168.05667469879486</v>
      </c>
      <c r="AA6" s="4">
        <f t="shared" si="2"/>
        <v>171.19402409638522</v>
      </c>
      <c r="AB6" s="4">
        <f t="shared" si="2"/>
        <v>173.48934939759005</v>
      </c>
      <c r="AC6" s="4">
        <f t="shared" si="2"/>
        <v>180.01098795180692</v>
      </c>
      <c r="AD6" s="4">
        <f t="shared" si="2"/>
        <v>189.10727710843341</v>
      </c>
      <c r="AE6" s="4">
        <f t="shared" si="2"/>
        <v>218.91816867469839</v>
      </c>
      <c r="AF6" s="4">
        <f t="shared" si="2"/>
        <v>239.32915662650561</v>
      </c>
      <c r="AG6" s="4">
        <f t="shared" si="2"/>
        <v>252.18621686746945</v>
      </c>
      <c r="AH6" s="4">
        <f t="shared" si="2"/>
        <v>265.27807228915611</v>
      </c>
      <c r="AI6" s="4">
        <f t="shared" si="2"/>
        <v>272.21262650602358</v>
      </c>
      <c r="AJ6" s="4">
        <f t="shared" si="2"/>
        <v>275.02612048192719</v>
      </c>
      <c r="AK6" s="4">
        <f t="shared" si="2"/>
        <v>284.70130120481878</v>
      </c>
      <c r="AL6" s="4">
        <f t="shared" si="2"/>
        <v>288.20298795180668</v>
      </c>
      <c r="AM6" s="4">
        <f t="shared" si="2"/>
        <v>290.17445783132479</v>
      </c>
      <c r="AN6" s="4">
        <f t="shared" si="2"/>
        <v>288.66853012048142</v>
      </c>
      <c r="AO6" s="4">
        <f t="shared" si="2"/>
        <v>297.83363855421635</v>
      </c>
      <c r="AP6" s="4">
        <f t="shared" si="2"/>
        <v>312.14804819277055</v>
      </c>
      <c r="AQ6" s="4">
        <f t="shared" si="2"/>
        <v>352.97812048192714</v>
      </c>
      <c r="AR6" s="4">
        <f t="shared" si="2"/>
        <v>383.07238554216798</v>
      </c>
      <c r="AS6" s="4">
        <f t="shared" si="2"/>
        <v>402.23248192771013</v>
      </c>
      <c r="AT6" s="4">
        <f t="shared" si="2"/>
        <v>427.27055421686674</v>
      </c>
      <c r="AU6" s="4">
        <f t="shared" si="2"/>
        <v>454.87113253011972</v>
      </c>
      <c r="AV6" s="4">
        <f t="shared" si="2"/>
        <v>480.05089156626417</v>
      </c>
      <c r="AW6" s="4">
        <f t="shared" si="2"/>
        <v>499.47816867469788</v>
      </c>
      <c r="AX6" s="4">
        <f t="shared" si="2"/>
        <v>518.75161445783044</v>
      </c>
      <c r="AY6" s="4">
        <f t="shared" si="2"/>
        <v>548.6313253012039</v>
      </c>
      <c r="AZ6" s="4">
        <f t="shared" si="2"/>
        <v>568.01812048192676</v>
      </c>
      <c r="BA6" s="4">
        <f t="shared" si="2"/>
        <v>588.71248192770975</v>
      </c>
      <c r="BB6" s="4">
        <f t="shared" si="2"/>
        <v>646.90525301204707</v>
      </c>
      <c r="BC6" s="4">
        <f t="shared" si="2"/>
        <v>699.87585542168551</v>
      </c>
      <c r="BD6" s="4">
        <f t="shared" si="2"/>
        <v>775.60944578313115</v>
      </c>
      <c r="BE6" s="4">
        <f t="shared" si="2"/>
        <v>849.78853012048035</v>
      </c>
      <c r="BF6" s="4">
        <f t="shared" si="2"/>
        <v>904.45937349397434</v>
      </c>
      <c r="BG6" s="4">
        <f t="shared" si="2"/>
        <v>953.30891566264893</v>
      </c>
      <c r="BH6" s="4">
        <f t="shared" si="2"/>
        <v>1003.1259759036127</v>
      </c>
      <c r="BI6" s="4">
        <f t="shared" si="2"/>
        <v>1062.6384578313234</v>
      </c>
      <c r="BJ6" s="4">
        <f t="shared" si="2"/>
        <v>1140.8414457831304</v>
      </c>
      <c r="BK6" s="4">
        <f t="shared" si="2"/>
        <v>1261.0484819277087</v>
      </c>
      <c r="BL6" s="4">
        <f t="shared" si="2"/>
        <v>1624.9688674698766</v>
      </c>
      <c r="BM6" s="4">
        <f t="shared" si="2"/>
        <v>2012.9719518072254</v>
      </c>
      <c r="BN6" s="4">
        <f t="shared" si="2"/>
        <v>2477.0851084337305</v>
      </c>
      <c r="BO6" s="4">
        <f t="shared" ref="BO6:CR6" si="3">+BO4*0.404819277108433</f>
        <v>2832.9212530120431</v>
      </c>
      <c r="BP6" s="4">
        <f t="shared" si="3"/>
        <v>3300.1677108433678</v>
      </c>
      <c r="BQ6" s="4">
        <f t="shared" si="3"/>
        <v>3482.2311325301143</v>
      </c>
      <c r="BR6" s="4">
        <f t="shared" si="3"/>
        <v>3643.2075180722827</v>
      </c>
      <c r="BS6" s="4">
        <f t="shared" si="3"/>
        <v>3716.7065060240898</v>
      </c>
      <c r="BT6" s="4">
        <f t="shared" si="3"/>
        <v>3814.6039518072221</v>
      </c>
      <c r="BU6" s="4">
        <f t="shared" si="3"/>
        <v>3909.8498313252944</v>
      </c>
      <c r="BV6" s="4">
        <f t="shared" si="3"/>
        <v>3900.3608674698726</v>
      </c>
      <c r="BW6" s="4">
        <f t="shared" si="3"/>
        <v>3921.5450602409569</v>
      </c>
      <c r="BX6" s="4">
        <f t="shared" si="3"/>
        <v>3937.122506024089</v>
      </c>
      <c r="BY6" s="4">
        <f t="shared" si="3"/>
        <v>4011.6659277108365</v>
      </c>
      <c r="BZ6" s="4">
        <f t="shared" si="3"/>
        <v>4081.7482409638478</v>
      </c>
      <c r="CA6" s="4">
        <f t="shared" si="3"/>
        <v>4203.6959999999926</v>
      </c>
      <c r="CB6" s="4">
        <f t="shared" si="3"/>
        <v>4293.4525301204749</v>
      </c>
      <c r="CC6" s="4">
        <f t="shared" si="3"/>
        <v>4397.1024578313172</v>
      </c>
      <c r="CD6" s="4">
        <f t="shared" si="3"/>
        <v>4437.8839518072209</v>
      </c>
      <c r="CE6" s="4">
        <f t="shared" si="3"/>
        <v>4516.9775421686663</v>
      </c>
      <c r="CF6" s="4">
        <f t="shared" si="3"/>
        <v>4579.020144578305</v>
      </c>
      <c r="CG6" s="4">
        <f t="shared" si="3"/>
        <v>4570.4703614457749</v>
      </c>
      <c r="CH6" s="4">
        <f t="shared" si="3"/>
        <v>4600.0505060240876</v>
      </c>
      <c r="CI6" s="4">
        <f t="shared" si="3"/>
        <v>4640.0587951807147</v>
      </c>
      <c r="CJ6" s="4">
        <f t="shared" si="3"/>
        <v>4666.0360481927628</v>
      </c>
      <c r="CK6" s="4">
        <f t="shared" si="3"/>
        <v>4708.3234698795095</v>
      </c>
      <c r="CL6" s="4">
        <f t="shared" si="3"/>
        <v>4814.5520963855333</v>
      </c>
      <c r="CM6" s="4">
        <f t="shared" si="3"/>
        <v>4838.9586506024007</v>
      </c>
      <c r="CN6" s="4">
        <f t="shared" si="3"/>
        <v>5094.4279518072199</v>
      </c>
      <c r="CO6" s="4">
        <f t="shared" si="3"/>
        <v>5316.3822650602315</v>
      </c>
      <c r="CP6" s="4">
        <f t="shared" si="3"/>
        <v>5432.6018313252916</v>
      </c>
      <c r="CQ6" s="4">
        <f t="shared" si="3"/>
        <v>5668.9312771084242</v>
      </c>
      <c r="CR6" s="4">
        <f t="shared" si="3"/>
        <v>5799.8012530120377</v>
      </c>
    </row>
    <row r="7" spans="1:96">
      <c r="A7" t="s">
        <v>74</v>
      </c>
      <c r="B7" s="4">
        <v>61.37</v>
      </c>
      <c r="C7" s="4">
        <v>62.77</v>
      </c>
      <c r="D7" s="4">
        <v>64.28</v>
      </c>
      <c r="E7" s="4">
        <v>66.319999999999993</v>
      </c>
      <c r="F7" s="4">
        <v>72.08</v>
      </c>
      <c r="G7" s="4">
        <v>90.41</v>
      </c>
      <c r="H7" s="4">
        <v>91.78</v>
      </c>
      <c r="I7" s="4">
        <v>84.65</v>
      </c>
      <c r="J7" s="4">
        <v>84</v>
      </c>
      <c r="K7" s="5">
        <v>80.72</v>
      </c>
      <c r="L7" s="5">
        <v>83.88</v>
      </c>
      <c r="M7" s="5">
        <v>95.89</v>
      </c>
      <c r="N7" s="5">
        <v>98.32</v>
      </c>
      <c r="O7" s="5">
        <v>101.17</v>
      </c>
      <c r="P7" s="5">
        <v>102.48</v>
      </c>
      <c r="Q7" s="5">
        <v>107.04</v>
      </c>
      <c r="R7" s="5">
        <v>108.47</v>
      </c>
      <c r="S7" s="6">
        <v>118.62</v>
      </c>
      <c r="T7" s="7">
        <v>118.37</v>
      </c>
      <c r="U7" s="7">
        <v>111.93</v>
      </c>
      <c r="V7" s="7">
        <v>111.67</v>
      </c>
      <c r="W7" s="7">
        <v>114.78</v>
      </c>
      <c r="X7" s="7">
        <v>119.25</v>
      </c>
      <c r="Y7" s="7">
        <v>122.1</v>
      </c>
      <c r="Z7" s="7">
        <v>132.41999999999999</v>
      </c>
      <c r="AA7" s="7">
        <v>133.55000000000001</v>
      </c>
      <c r="AB7" s="7">
        <v>154.99</v>
      </c>
      <c r="AC7" s="7">
        <v>160.99</v>
      </c>
      <c r="AD7" s="8">
        <v>168.6</v>
      </c>
      <c r="AE7" s="8">
        <v>175.11</v>
      </c>
      <c r="AF7" s="8">
        <v>178.41</v>
      </c>
      <c r="AG7" s="8">
        <v>180.57</v>
      </c>
      <c r="AH7" s="8">
        <v>190.58</v>
      </c>
      <c r="AI7" s="8">
        <v>193.66</v>
      </c>
      <c r="AJ7" s="8">
        <v>198.66</v>
      </c>
      <c r="AK7" s="8">
        <v>205.53</v>
      </c>
      <c r="AL7" s="8">
        <v>208.68</v>
      </c>
      <c r="AM7" s="8">
        <v>217.62</v>
      </c>
      <c r="AN7" s="8">
        <v>223.64</v>
      </c>
      <c r="AO7" s="8">
        <v>229.35</v>
      </c>
      <c r="AP7" s="8">
        <v>240.37</v>
      </c>
      <c r="AQ7" s="8">
        <v>276.58999999999997</v>
      </c>
      <c r="AR7" s="8">
        <v>310</v>
      </c>
      <c r="AS7" s="8">
        <v>335.82</v>
      </c>
      <c r="AT7" s="8">
        <v>356.69</v>
      </c>
      <c r="AU7" s="8">
        <v>367.61</v>
      </c>
      <c r="AV7" s="8">
        <v>380.37</v>
      </c>
      <c r="AW7" s="8">
        <v>404.87</v>
      </c>
      <c r="AX7" s="8">
        <v>424.66</v>
      </c>
      <c r="AY7" s="8">
        <v>426.82</v>
      </c>
      <c r="AZ7" s="8">
        <v>437.28</v>
      </c>
      <c r="BA7" s="8">
        <v>452.94</v>
      </c>
      <c r="BB7" s="8">
        <v>483.55</v>
      </c>
      <c r="BC7" s="8">
        <v>612.5</v>
      </c>
      <c r="BD7" s="8">
        <v>774.33</v>
      </c>
      <c r="BE7" s="8">
        <v>726.36</v>
      </c>
      <c r="BF7" s="8">
        <v>687.76</v>
      </c>
      <c r="BG7" s="8">
        <v>696.94</v>
      </c>
      <c r="BH7" s="8">
        <v>840.37</v>
      </c>
      <c r="BI7" s="8">
        <v>993.4</v>
      </c>
      <c r="BJ7" s="8">
        <v>1100.3900000000001</v>
      </c>
      <c r="BK7" s="8">
        <v>1275.08</v>
      </c>
      <c r="BL7" s="8">
        <v>1652.73</v>
      </c>
      <c r="BM7" s="8">
        <v>1882.69</v>
      </c>
      <c r="BN7" s="8">
        <v>2094.9</v>
      </c>
      <c r="BO7" s="8">
        <v>2370.27</v>
      </c>
      <c r="BP7" s="8">
        <v>2564.9499999999998</v>
      </c>
      <c r="BQ7" s="8">
        <v>2598.08</v>
      </c>
      <c r="BR7" s="8">
        <v>2602.27</v>
      </c>
      <c r="BS7" s="8">
        <v>2659.11</v>
      </c>
      <c r="BT7" s="8">
        <v>2853.71</v>
      </c>
      <c r="BU7" s="8">
        <v>3002.26</v>
      </c>
      <c r="BV7" s="8">
        <v>2982.07</v>
      </c>
      <c r="BW7" s="8">
        <v>3007.36</v>
      </c>
      <c r="BX7" s="8">
        <v>3138.91</v>
      </c>
      <c r="BY7" s="8">
        <v>3084.45</v>
      </c>
      <c r="BZ7" s="8">
        <v>3096.29</v>
      </c>
      <c r="CA7" s="8">
        <v>3417.37</v>
      </c>
      <c r="CB7" s="8">
        <v>3717.79</v>
      </c>
      <c r="CC7" s="8">
        <v>3734.86</v>
      </c>
      <c r="CD7" s="8">
        <v>3709.92</v>
      </c>
      <c r="CE7" s="8">
        <v>3910.04</v>
      </c>
      <c r="CF7" s="8">
        <v>3848.28</v>
      </c>
      <c r="CG7" s="8">
        <v>3722.78</v>
      </c>
      <c r="CH7" s="8">
        <v>3681.62</v>
      </c>
      <c r="CI7" s="8">
        <v>3642.98</v>
      </c>
      <c r="CJ7" s="8">
        <v>3740.26</v>
      </c>
      <c r="CK7" s="8">
        <v>4074.64</v>
      </c>
      <c r="CL7" s="8">
        <v>4488.99</v>
      </c>
      <c r="CM7" s="8">
        <v>4826.46</v>
      </c>
      <c r="CN7" s="8">
        <v>4782.03</v>
      </c>
      <c r="CO7" s="8">
        <v>4794.21</v>
      </c>
      <c r="CP7" s="8">
        <v>4820.82</v>
      </c>
      <c r="CQ7" s="8">
        <v>4806.12</v>
      </c>
      <c r="CR7" s="8">
        <v>4780.1400000000003</v>
      </c>
    </row>
    <row r="8" spans="1:96">
      <c r="A8" t="s">
        <v>75</v>
      </c>
      <c r="B8" s="4">
        <f>+B7*0.655172413793103</f>
        <v>40.207931034482726</v>
      </c>
      <c r="C8" s="4">
        <f t="shared" ref="C8:BN8" si="4">+C7*0.655172413793103</f>
        <v>41.125172413793074</v>
      </c>
      <c r="D8" s="4">
        <f t="shared" si="4"/>
        <v>42.11448275862066</v>
      </c>
      <c r="E8" s="4">
        <f t="shared" si="4"/>
        <v>43.451034482758587</v>
      </c>
      <c r="F8" s="4">
        <f t="shared" si="4"/>
        <v>47.224827586206864</v>
      </c>
      <c r="G8" s="4">
        <f t="shared" si="4"/>
        <v>59.234137931034439</v>
      </c>
      <c r="H8" s="4">
        <f t="shared" si="4"/>
        <v>60.131724137930995</v>
      </c>
      <c r="I8" s="4">
        <f t="shared" si="4"/>
        <v>55.460344827586169</v>
      </c>
      <c r="J8" s="4">
        <f t="shared" si="4"/>
        <v>55.034482758620648</v>
      </c>
      <c r="K8" s="4">
        <f t="shared" si="4"/>
        <v>52.885517241379269</v>
      </c>
      <c r="L8" s="4">
        <f t="shared" si="4"/>
        <v>54.955862068965473</v>
      </c>
      <c r="M8" s="4">
        <f t="shared" si="4"/>
        <v>62.824482758620647</v>
      </c>
      <c r="N8" s="4">
        <f t="shared" si="4"/>
        <v>64.416551724137875</v>
      </c>
      <c r="O8" s="4">
        <f t="shared" si="4"/>
        <v>66.283793103448232</v>
      </c>
      <c r="P8" s="4">
        <f t="shared" si="4"/>
        <v>67.142068965517197</v>
      </c>
      <c r="Q8" s="4">
        <f t="shared" si="4"/>
        <v>70.129655172413749</v>
      </c>
      <c r="R8" s="4">
        <f t="shared" si="4"/>
        <v>71.066551724137881</v>
      </c>
      <c r="S8" s="4">
        <f t="shared" si="4"/>
        <v>77.716551724137872</v>
      </c>
      <c r="T8" s="4">
        <f t="shared" si="4"/>
        <v>77.552758620689602</v>
      </c>
      <c r="U8" s="4">
        <f t="shared" si="4"/>
        <v>73.333448275862025</v>
      </c>
      <c r="V8" s="4">
        <f t="shared" si="4"/>
        <v>73.163103448275805</v>
      </c>
      <c r="W8" s="4">
        <f t="shared" si="4"/>
        <v>75.200689655172354</v>
      </c>
      <c r="X8" s="4">
        <f t="shared" si="4"/>
        <v>78.12931034482753</v>
      </c>
      <c r="Y8" s="4">
        <f t="shared" si="4"/>
        <v>79.996551724137873</v>
      </c>
      <c r="Z8" s="4">
        <f t="shared" si="4"/>
        <v>86.757931034482695</v>
      </c>
      <c r="AA8" s="4">
        <f t="shared" si="4"/>
        <v>87.498275862068908</v>
      </c>
      <c r="AB8" s="4">
        <f t="shared" si="4"/>
        <v>101.54517241379304</v>
      </c>
      <c r="AC8" s="4">
        <f t="shared" si="4"/>
        <v>105.47620689655166</v>
      </c>
      <c r="AD8" s="4">
        <f t="shared" si="4"/>
        <v>110.46206896551716</v>
      </c>
      <c r="AE8" s="4">
        <f t="shared" si="4"/>
        <v>114.72724137931027</v>
      </c>
      <c r="AF8" s="4">
        <f t="shared" si="4"/>
        <v>116.88931034482751</v>
      </c>
      <c r="AG8" s="4">
        <f t="shared" si="4"/>
        <v>118.30448275862059</v>
      </c>
      <c r="AH8" s="4">
        <f t="shared" si="4"/>
        <v>124.86275862068958</v>
      </c>
      <c r="AI8" s="4">
        <f t="shared" si="4"/>
        <v>126.88068965517232</v>
      </c>
      <c r="AJ8" s="4">
        <f t="shared" si="4"/>
        <v>130.15655172413784</v>
      </c>
      <c r="AK8" s="4">
        <f t="shared" si="4"/>
        <v>134.65758620689647</v>
      </c>
      <c r="AL8" s="4">
        <f t="shared" si="4"/>
        <v>136.72137931034473</v>
      </c>
      <c r="AM8" s="4">
        <f t="shared" si="4"/>
        <v>142.57862068965508</v>
      </c>
      <c r="AN8" s="4">
        <f t="shared" si="4"/>
        <v>146.52275862068953</v>
      </c>
      <c r="AO8" s="4">
        <f t="shared" si="4"/>
        <v>150.26379310344817</v>
      </c>
      <c r="AP8" s="4">
        <f t="shared" si="4"/>
        <v>157.48379310344816</v>
      </c>
      <c r="AQ8" s="4">
        <f t="shared" si="4"/>
        <v>181.21413793103434</v>
      </c>
      <c r="AR8" s="4">
        <f t="shared" si="4"/>
        <v>203.10344827586192</v>
      </c>
      <c r="AS8" s="4">
        <f t="shared" si="4"/>
        <v>220.01999999999984</v>
      </c>
      <c r="AT8" s="4">
        <f t="shared" si="4"/>
        <v>233.6934482758619</v>
      </c>
      <c r="AU8" s="4">
        <f t="shared" si="4"/>
        <v>240.8479310344826</v>
      </c>
      <c r="AV8" s="4">
        <f t="shared" si="4"/>
        <v>249.20793103448258</v>
      </c>
      <c r="AW8" s="4">
        <f t="shared" si="4"/>
        <v>265.2596551724136</v>
      </c>
      <c r="AX8" s="4">
        <f t="shared" si="4"/>
        <v>278.22551724137912</v>
      </c>
      <c r="AY8" s="4">
        <f t="shared" si="4"/>
        <v>279.6406896551722</v>
      </c>
      <c r="AZ8" s="4">
        <f t="shared" si="4"/>
        <v>286.49379310344807</v>
      </c>
      <c r="BA8" s="4">
        <f t="shared" si="4"/>
        <v>296.75379310344806</v>
      </c>
      <c r="BB8" s="4">
        <f t="shared" si="4"/>
        <v>316.80862068965496</v>
      </c>
      <c r="BC8" s="4">
        <f t="shared" si="4"/>
        <v>401.29310344827559</v>
      </c>
      <c r="BD8" s="4">
        <f t="shared" si="4"/>
        <v>507.31965517241343</v>
      </c>
      <c r="BE8" s="4">
        <f t="shared" si="4"/>
        <v>475.8910344827583</v>
      </c>
      <c r="BF8" s="4">
        <f t="shared" si="4"/>
        <v>450.6013793103445</v>
      </c>
      <c r="BG8" s="4">
        <f t="shared" si="4"/>
        <v>456.61586206896521</v>
      </c>
      <c r="BH8" s="4">
        <f t="shared" si="4"/>
        <v>550.58724137930994</v>
      </c>
      <c r="BI8" s="4">
        <f t="shared" si="4"/>
        <v>650.84827586206848</v>
      </c>
      <c r="BJ8" s="4">
        <f t="shared" si="4"/>
        <v>720.94517241379265</v>
      </c>
      <c r="BK8" s="4">
        <f t="shared" si="4"/>
        <v>835.39724137930966</v>
      </c>
      <c r="BL8" s="4">
        <f t="shared" si="4"/>
        <v>1082.8231034482751</v>
      </c>
      <c r="BM8" s="4">
        <f t="shared" si="4"/>
        <v>1233.4865517241371</v>
      </c>
      <c r="BN8" s="4">
        <f t="shared" si="4"/>
        <v>1372.5206896551715</v>
      </c>
      <c r="BO8" s="4">
        <f t="shared" ref="BO8:CR8" si="5">+BO7*0.655172413793103</f>
        <v>1552.9355172413782</v>
      </c>
      <c r="BP8" s="4">
        <f t="shared" si="5"/>
        <v>1680.4844827586194</v>
      </c>
      <c r="BQ8" s="4">
        <f t="shared" si="5"/>
        <v>1702.190344827585</v>
      </c>
      <c r="BR8" s="4">
        <f t="shared" si="5"/>
        <v>1704.9355172413782</v>
      </c>
      <c r="BS8" s="4">
        <f t="shared" si="5"/>
        <v>1742.1755172413782</v>
      </c>
      <c r="BT8" s="4">
        <f t="shared" si="5"/>
        <v>1869.672068965516</v>
      </c>
      <c r="BU8" s="4">
        <f t="shared" si="5"/>
        <v>1966.9979310344816</v>
      </c>
      <c r="BV8" s="4">
        <f t="shared" si="5"/>
        <v>1953.7699999999986</v>
      </c>
      <c r="BW8" s="4">
        <f t="shared" si="5"/>
        <v>1970.3393103448263</v>
      </c>
      <c r="BX8" s="4">
        <f t="shared" si="5"/>
        <v>2056.5272413793086</v>
      </c>
      <c r="BY8" s="4">
        <f t="shared" si="5"/>
        <v>2020.8465517241364</v>
      </c>
      <c r="BZ8" s="4">
        <f t="shared" si="5"/>
        <v>2028.6037931034468</v>
      </c>
      <c r="CA8" s="4">
        <f t="shared" si="5"/>
        <v>2238.9665517241365</v>
      </c>
      <c r="CB8" s="4">
        <f t="shared" si="5"/>
        <v>2435.7934482758601</v>
      </c>
      <c r="CC8" s="4">
        <f t="shared" si="5"/>
        <v>2446.9772413793089</v>
      </c>
      <c r="CD8" s="4">
        <f t="shared" si="5"/>
        <v>2430.6372413793088</v>
      </c>
      <c r="CE8" s="4">
        <f t="shared" si="5"/>
        <v>2561.7503448275843</v>
      </c>
      <c r="CF8" s="4">
        <f t="shared" si="5"/>
        <v>2521.2868965517223</v>
      </c>
      <c r="CG8" s="4">
        <f t="shared" si="5"/>
        <v>2439.0627586206879</v>
      </c>
      <c r="CH8" s="4">
        <f t="shared" si="5"/>
        <v>2412.0958620689639</v>
      </c>
      <c r="CI8" s="4">
        <f t="shared" si="5"/>
        <v>2386.7799999999984</v>
      </c>
      <c r="CJ8" s="4">
        <f t="shared" si="5"/>
        <v>2450.5151724137913</v>
      </c>
      <c r="CK8" s="4">
        <f t="shared" si="5"/>
        <v>2669.5917241379288</v>
      </c>
      <c r="CL8" s="4">
        <f t="shared" si="5"/>
        <v>2941.0624137931013</v>
      </c>
      <c r="CM8" s="4">
        <f t="shared" si="5"/>
        <v>3162.16344827586</v>
      </c>
      <c r="CN8" s="4">
        <f t="shared" si="5"/>
        <v>3133.0541379310321</v>
      </c>
      <c r="CO8" s="4">
        <f t="shared" si="5"/>
        <v>3141.0341379310321</v>
      </c>
      <c r="CP8" s="4">
        <f t="shared" si="5"/>
        <v>3158.4682758620665</v>
      </c>
      <c r="CQ8" s="4">
        <f t="shared" si="5"/>
        <v>3148.8372413793081</v>
      </c>
      <c r="CR8" s="4">
        <f t="shared" si="5"/>
        <v>3131.8158620689637</v>
      </c>
    </row>
    <row r="9" spans="1:96">
      <c r="A9" t="s">
        <v>76</v>
      </c>
      <c r="B9" s="4">
        <v>169.57</v>
      </c>
      <c r="C9" s="4">
        <v>171.81</v>
      </c>
      <c r="D9" s="4">
        <v>175.16</v>
      </c>
      <c r="E9" s="4">
        <v>186.91</v>
      </c>
      <c r="F9" s="4">
        <v>209.92</v>
      </c>
      <c r="G9" s="4">
        <v>219.89</v>
      </c>
      <c r="H9" s="4">
        <v>220.45</v>
      </c>
      <c r="I9" s="4">
        <v>220.78</v>
      </c>
      <c r="J9" s="4">
        <v>218.72</v>
      </c>
      <c r="K9" s="5">
        <v>218.71</v>
      </c>
      <c r="L9" s="5">
        <v>225.06</v>
      </c>
      <c r="M9" s="5">
        <v>233.98</v>
      </c>
      <c r="N9" s="5">
        <v>237.57</v>
      </c>
      <c r="O9" s="5">
        <v>263.27999999999997</v>
      </c>
      <c r="P9" s="5">
        <v>289.11</v>
      </c>
      <c r="Q9" s="5">
        <v>320.89999999999998</v>
      </c>
      <c r="R9" s="5">
        <v>316.52</v>
      </c>
      <c r="S9" s="6">
        <v>319.66000000000003</v>
      </c>
      <c r="T9" s="7">
        <v>324.18</v>
      </c>
      <c r="U9" s="7">
        <v>321.62</v>
      </c>
      <c r="V9" s="7">
        <v>328.22</v>
      </c>
      <c r="W9" s="7">
        <v>342.68</v>
      </c>
      <c r="X9" s="7">
        <v>351.47</v>
      </c>
      <c r="Y9" s="7">
        <v>359.81</v>
      </c>
      <c r="Z9" s="7">
        <v>372.76</v>
      </c>
      <c r="AA9" s="7">
        <v>411.27</v>
      </c>
      <c r="AB9" s="7">
        <v>528.66999999999996</v>
      </c>
      <c r="AC9" s="7">
        <v>588.62</v>
      </c>
      <c r="AD9" s="8">
        <v>585.51</v>
      </c>
      <c r="AE9" s="8">
        <v>617.47</v>
      </c>
      <c r="AF9" s="8">
        <v>634.88</v>
      </c>
      <c r="AG9" s="8">
        <v>664.77</v>
      </c>
      <c r="AH9" s="8">
        <v>682.22</v>
      </c>
      <c r="AI9" s="8">
        <v>678.73</v>
      </c>
      <c r="AJ9" s="8">
        <v>660.81</v>
      </c>
      <c r="AK9" s="8">
        <v>664.99</v>
      </c>
      <c r="AL9" s="8">
        <v>677.14</v>
      </c>
      <c r="AM9" s="8">
        <v>763.21</v>
      </c>
      <c r="AN9" s="8">
        <v>884.61</v>
      </c>
      <c r="AO9" s="8">
        <v>891.66</v>
      </c>
      <c r="AP9" s="8">
        <v>917.93</v>
      </c>
      <c r="AQ9" s="8">
        <v>971.19</v>
      </c>
      <c r="AR9" s="8">
        <v>1022.16</v>
      </c>
      <c r="AS9" s="8">
        <v>1078.24</v>
      </c>
      <c r="AT9" s="8">
        <v>1080.68</v>
      </c>
      <c r="AU9" s="8">
        <v>1075.23</v>
      </c>
      <c r="AV9" s="8">
        <v>1078.4000000000001</v>
      </c>
      <c r="AW9" s="8">
        <v>1109.97</v>
      </c>
      <c r="AX9" s="8">
        <v>1156.4000000000001</v>
      </c>
      <c r="AY9" s="8">
        <v>1177.01</v>
      </c>
      <c r="AZ9" s="8">
        <v>1241.67</v>
      </c>
      <c r="BA9" s="8">
        <v>1285.52</v>
      </c>
      <c r="BB9" s="8">
        <v>1652.71</v>
      </c>
      <c r="BC9" s="8">
        <v>1769.29</v>
      </c>
      <c r="BD9" s="8">
        <v>1778.75</v>
      </c>
      <c r="BE9" s="8">
        <v>1808.82</v>
      </c>
      <c r="BF9" s="8">
        <v>1814.81</v>
      </c>
      <c r="BG9" s="8">
        <v>1866.51</v>
      </c>
      <c r="BH9" s="8">
        <v>2470.9499999999998</v>
      </c>
      <c r="BI9" s="8">
        <v>2846.01</v>
      </c>
      <c r="BJ9" s="8">
        <v>3097.23</v>
      </c>
      <c r="BK9" s="8">
        <v>3617.57</v>
      </c>
      <c r="BL9" s="8">
        <v>5195.96</v>
      </c>
      <c r="BM9" s="8">
        <v>5519.93</v>
      </c>
      <c r="BN9" s="8">
        <v>5970.3</v>
      </c>
      <c r="BO9" s="8">
        <v>6340.7</v>
      </c>
      <c r="BP9" s="8">
        <v>6505.58</v>
      </c>
      <c r="BQ9" s="8">
        <v>6506.47</v>
      </c>
      <c r="BR9" s="8">
        <v>6517.09</v>
      </c>
      <c r="BS9" s="8">
        <v>6648.9</v>
      </c>
      <c r="BT9" s="8">
        <v>6872.49</v>
      </c>
      <c r="BU9" s="8">
        <v>6988.34</v>
      </c>
      <c r="BV9" s="8">
        <v>7190.17</v>
      </c>
      <c r="BW9" s="8">
        <v>7523.73</v>
      </c>
      <c r="BX9" s="8">
        <v>8911.73</v>
      </c>
      <c r="BY9" s="8">
        <v>9152.9</v>
      </c>
      <c r="BZ9" s="8">
        <v>10055.700000000001</v>
      </c>
      <c r="CA9" s="8">
        <v>10526.73</v>
      </c>
      <c r="CB9" s="8">
        <v>10761.34</v>
      </c>
      <c r="CC9" s="8">
        <v>10971.63</v>
      </c>
      <c r="CD9" s="8">
        <v>10973.35</v>
      </c>
      <c r="CE9" s="8">
        <v>10981.58</v>
      </c>
      <c r="CF9" s="8">
        <v>11004.53</v>
      </c>
      <c r="CG9" s="8">
        <v>11190.54</v>
      </c>
      <c r="CH9" s="8">
        <v>11775.55</v>
      </c>
      <c r="CI9" s="8">
        <v>13304.75</v>
      </c>
      <c r="CJ9" s="8">
        <v>15094.3</v>
      </c>
      <c r="CK9" s="8">
        <v>15942</v>
      </c>
      <c r="CL9" s="8">
        <v>16852.38</v>
      </c>
      <c r="CM9" s="8">
        <v>17784.79</v>
      </c>
      <c r="CN9" s="8">
        <v>17512.900000000001</v>
      </c>
      <c r="CO9" s="8">
        <v>17237.32</v>
      </c>
      <c r="CP9" s="8">
        <v>16929.32</v>
      </c>
      <c r="CQ9" s="8">
        <v>16708.23</v>
      </c>
      <c r="CR9" s="8">
        <v>16736.73</v>
      </c>
    </row>
    <row r="10" spans="1:96">
      <c r="A10" t="s">
        <v>77</v>
      </c>
      <c r="B10" s="4">
        <v>105.97</v>
      </c>
      <c r="C10" s="4">
        <v>106.89</v>
      </c>
      <c r="D10" s="4">
        <v>106.47</v>
      </c>
      <c r="E10" s="4">
        <v>113.53</v>
      </c>
      <c r="F10" s="4">
        <v>126.42</v>
      </c>
      <c r="G10" s="4">
        <v>134.04</v>
      </c>
      <c r="H10" s="4">
        <v>135.35</v>
      </c>
      <c r="I10" s="4">
        <v>137.66999999999999</v>
      </c>
      <c r="J10" s="4">
        <v>137.31</v>
      </c>
      <c r="K10" s="5">
        <v>141.22</v>
      </c>
      <c r="L10" s="5">
        <v>147.85</v>
      </c>
      <c r="M10" s="5">
        <v>156.25</v>
      </c>
      <c r="N10" s="5">
        <v>157.13</v>
      </c>
      <c r="O10" s="5">
        <v>168.39</v>
      </c>
      <c r="P10" s="5">
        <v>178.35</v>
      </c>
      <c r="Q10" s="5">
        <v>202.41</v>
      </c>
      <c r="R10" s="5">
        <v>209.42</v>
      </c>
      <c r="S10" s="6">
        <v>214.88</v>
      </c>
      <c r="T10" s="7">
        <v>227.42</v>
      </c>
      <c r="U10" s="7">
        <v>229.53</v>
      </c>
      <c r="V10" s="7">
        <v>230.34</v>
      </c>
      <c r="W10" s="7">
        <v>235.95</v>
      </c>
      <c r="X10" s="7">
        <v>247.99</v>
      </c>
      <c r="Y10" s="7">
        <v>248.81</v>
      </c>
      <c r="Z10" s="7">
        <v>254.61</v>
      </c>
      <c r="AA10" s="7">
        <v>271.41000000000003</v>
      </c>
      <c r="AB10" s="7">
        <v>300.89999999999998</v>
      </c>
      <c r="AC10" s="7">
        <v>313.33</v>
      </c>
      <c r="AD10" s="8">
        <v>327.64999999999998</v>
      </c>
      <c r="AE10" s="8">
        <v>355.55</v>
      </c>
      <c r="AF10" s="8">
        <v>372.64</v>
      </c>
      <c r="AG10" s="8">
        <v>407.23</v>
      </c>
      <c r="AH10" s="8">
        <v>427.82</v>
      </c>
      <c r="AI10" s="8">
        <v>429.77</v>
      </c>
      <c r="AJ10" s="8">
        <v>414.76</v>
      </c>
      <c r="AK10" s="8">
        <v>431.41</v>
      </c>
      <c r="AL10" s="8">
        <v>430.85</v>
      </c>
      <c r="AM10" s="8">
        <v>479.86</v>
      </c>
      <c r="AN10" s="8">
        <v>507.32</v>
      </c>
      <c r="AO10" s="8">
        <v>481.74</v>
      </c>
      <c r="AP10" s="8">
        <v>538.25</v>
      </c>
      <c r="AQ10" s="8">
        <v>559.84</v>
      </c>
      <c r="AR10" s="8">
        <v>614.62</v>
      </c>
      <c r="AS10" s="8">
        <v>664.87</v>
      </c>
      <c r="AT10" s="8">
        <v>686.83</v>
      </c>
      <c r="AU10" s="8">
        <v>695.04</v>
      </c>
      <c r="AV10" s="8">
        <v>697.06</v>
      </c>
      <c r="AW10" s="8">
        <v>719.47</v>
      </c>
      <c r="AX10" s="8">
        <v>728.26</v>
      </c>
      <c r="AY10" s="8">
        <v>704.96</v>
      </c>
      <c r="AZ10" s="8">
        <v>698.77</v>
      </c>
      <c r="BA10" s="8">
        <v>750.61</v>
      </c>
      <c r="BB10" s="8">
        <v>1013.04</v>
      </c>
      <c r="BC10" s="8">
        <v>1047.42</v>
      </c>
      <c r="BD10" s="8">
        <v>1097.26</v>
      </c>
      <c r="BE10" s="8">
        <v>1146.0899999999999</v>
      </c>
      <c r="BF10" s="8">
        <v>1172.3399999999999</v>
      </c>
      <c r="BG10" s="8">
        <v>1221.6600000000001</v>
      </c>
      <c r="BH10" s="8">
        <v>1702.55</v>
      </c>
      <c r="BI10" s="8">
        <v>1972.69</v>
      </c>
      <c r="BJ10" s="8">
        <v>2065.09</v>
      </c>
      <c r="BK10" s="8">
        <v>2345.9</v>
      </c>
      <c r="BL10" s="8">
        <v>3142.87</v>
      </c>
      <c r="BM10" s="8">
        <v>3469.9</v>
      </c>
      <c r="BN10" s="8">
        <v>3807.3</v>
      </c>
      <c r="BO10" s="8">
        <v>4193.13</v>
      </c>
      <c r="BP10" s="8">
        <v>4441.3900000000003</v>
      </c>
      <c r="BQ10" s="8">
        <v>4673.95</v>
      </c>
      <c r="BR10" s="8">
        <v>4837.91</v>
      </c>
      <c r="BS10" s="8">
        <v>4883.83</v>
      </c>
      <c r="BT10" s="8">
        <v>4913.59</v>
      </c>
      <c r="BU10" s="8">
        <v>4934.2</v>
      </c>
      <c r="BV10" s="8">
        <v>4918.3900000000003</v>
      </c>
      <c r="BW10" s="8">
        <v>5020.9799999999996</v>
      </c>
      <c r="BX10" s="8">
        <v>5395</v>
      </c>
      <c r="BY10" s="8">
        <v>5464.55</v>
      </c>
      <c r="BZ10" s="8">
        <v>6081.11</v>
      </c>
      <c r="CA10" s="8">
        <v>6325.93</v>
      </c>
      <c r="CB10" s="8">
        <v>6640.7</v>
      </c>
      <c r="CC10" s="8">
        <v>6678.78</v>
      </c>
      <c r="CD10" s="8">
        <v>6803.35</v>
      </c>
      <c r="CE10" s="8">
        <v>6875.89</v>
      </c>
      <c r="CF10" s="8">
        <v>6948.57</v>
      </c>
      <c r="CG10" s="8">
        <v>7071.04</v>
      </c>
      <c r="CH10" s="8">
        <v>7320.71</v>
      </c>
      <c r="CI10" s="8">
        <v>8018.07</v>
      </c>
      <c r="CJ10" s="8">
        <v>8624.25</v>
      </c>
      <c r="CK10" s="8">
        <v>8890.91</v>
      </c>
      <c r="CL10" s="8">
        <v>9521.4</v>
      </c>
      <c r="CM10" s="8">
        <v>10324.459999999999</v>
      </c>
      <c r="CN10" s="8">
        <v>10439.61</v>
      </c>
      <c r="CO10" s="8">
        <v>10402.23</v>
      </c>
      <c r="CP10" s="8">
        <v>10623.71</v>
      </c>
      <c r="CQ10" s="8">
        <v>10554.13</v>
      </c>
      <c r="CR10" s="8">
        <v>10613.08</v>
      </c>
    </row>
    <row r="11" spans="1:96">
      <c r="A11" t="s">
        <v>78</v>
      </c>
      <c r="B11" s="4">
        <f>+B9*0.543186180422264</f>
        <v>92.108080614203303</v>
      </c>
      <c r="C11" s="4">
        <f t="shared" ref="C11:BN11" si="6">+C9*0.543186180422264</f>
        <v>93.324817658349176</v>
      </c>
      <c r="D11" s="4">
        <f t="shared" si="6"/>
        <v>95.144491362763759</v>
      </c>
      <c r="E11" s="4">
        <f t="shared" si="6"/>
        <v>101.52692898272535</v>
      </c>
      <c r="F11" s="4">
        <f t="shared" si="6"/>
        <v>114.02564299424165</v>
      </c>
      <c r="G11" s="4">
        <f t="shared" si="6"/>
        <v>119.44120921305162</v>
      </c>
      <c r="H11" s="4">
        <f t="shared" si="6"/>
        <v>119.74539347408809</v>
      </c>
      <c r="I11" s="4">
        <f t="shared" si="6"/>
        <v>119.92464491362743</v>
      </c>
      <c r="J11" s="4">
        <f t="shared" si="6"/>
        <v>118.80568138195757</v>
      </c>
      <c r="K11" s="4">
        <f t="shared" si="6"/>
        <v>118.80024952015336</v>
      </c>
      <c r="L11" s="4">
        <f t="shared" si="6"/>
        <v>122.24948176583473</v>
      </c>
      <c r="M11" s="4">
        <f t="shared" si="6"/>
        <v>127.09470249520132</v>
      </c>
      <c r="N11" s="4">
        <f t="shared" si="6"/>
        <v>129.04474088291724</v>
      </c>
      <c r="O11" s="4">
        <f t="shared" si="6"/>
        <v>143.01005758157365</v>
      </c>
      <c r="P11" s="4">
        <f t="shared" si="6"/>
        <v>157.04055662188074</v>
      </c>
      <c r="Q11" s="4">
        <f t="shared" si="6"/>
        <v>174.30844529750451</v>
      </c>
      <c r="R11" s="4">
        <f t="shared" si="6"/>
        <v>171.92928982725499</v>
      </c>
      <c r="S11" s="4">
        <f t="shared" si="6"/>
        <v>173.63489443378091</v>
      </c>
      <c r="T11" s="4">
        <f t="shared" si="6"/>
        <v>176.09009596928954</v>
      </c>
      <c r="U11" s="4">
        <f t="shared" si="6"/>
        <v>174.69953934740855</v>
      </c>
      <c r="V11" s="4">
        <f t="shared" si="6"/>
        <v>178.28456813819548</v>
      </c>
      <c r="W11" s="4">
        <f t="shared" si="6"/>
        <v>186.13904030710142</v>
      </c>
      <c r="X11" s="4">
        <f t="shared" si="6"/>
        <v>190.91364683301313</v>
      </c>
      <c r="Y11" s="4">
        <f t="shared" si="6"/>
        <v>195.44381957773479</v>
      </c>
      <c r="Z11" s="4">
        <f t="shared" si="6"/>
        <v>202.47808061420312</v>
      </c>
      <c r="AA11" s="4">
        <f t="shared" si="6"/>
        <v>223.39618042226448</v>
      </c>
      <c r="AB11" s="4">
        <f t="shared" si="6"/>
        <v>287.16623800383826</v>
      </c>
      <c r="AC11" s="4">
        <f t="shared" si="6"/>
        <v>319.730249520153</v>
      </c>
      <c r="AD11" s="4">
        <f t="shared" si="6"/>
        <v>318.04094049903978</v>
      </c>
      <c r="AE11" s="4">
        <f t="shared" si="6"/>
        <v>335.40117082533533</v>
      </c>
      <c r="AF11" s="4">
        <f t="shared" si="6"/>
        <v>344.85804222648693</v>
      </c>
      <c r="AG11" s="4">
        <f t="shared" si="6"/>
        <v>361.09387715930842</v>
      </c>
      <c r="AH11" s="4">
        <f t="shared" si="6"/>
        <v>370.57247600767693</v>
      </c>
      <c r="AI11" s="4">
        <f t="shared" si="6"/>
        <v>368.67675623800324</v>
      </c>
      <c r="AJ11" s="4">
        <f t="shared" si="6"/>
        <v>358.9428598848362</v>
      </c>
      <c r="AK11" s="4">
        <f t="shared" si="6"/>
        <v>361.21337811900133</v>
      </c>
      <c r="AL11" s="4">
        <f t="shared" si="6"/>
        <v>367.81309021113179</v>
      </c>
      <c r="AM11" s="4">
        <f t="shared" si="6"/>
        <v>414.56512476007612</v>
      </c>
      <c r="AN11" s="4">
        <f t="shared" si="6"/>
        <v>480.50792706333891</v>
      </c>
      <c r="AO11" s="4">
        <f t="shared" si="6"/>
        <v>484.33738963531584</v>
      </c>
      <c r="AP11" s="4">
        <f t="shared" si="6"/>
        <v>498.60689059500874</v>
      </c>
      <c r="AQ11" s="4">
        <f t="shared" si="6"/>
        <v>527.53698656429856</v>
      </c>
      <c r="AR11" s="4">
        <f t="shared" si="6"/>
        <v>555.22318618042129</v>
      </c>
      <c r="AS11" s="4">
        <f t="shared" si="6"/>
        <v>585.68506717850187</v>
      </c>
      <c r="AT11" s="4">
        <f t="shared" si="6"/>
        <v>587.0104414587322</v>
      </c>
      <c r="AU11" s="4">
        <f t="shared" si="6"/>
        <v>584.05007677543085</v>
      </c>
      <c r="AV11" s="4">
        <f t="shared" si="6"/>
        <v>585.77197696736948</v>
      </c>
      <c r="AW11" s="4">
        <f t="shared" si="6"/>
        <v>602.92036468330036</v>
      </c>
      <c r="AX11" s="4">
        <f t="shared" si="6"/>
        <v>628.14049904030605</v>
      </c>
      <c r="AY11" s="4">
        <f t="shared" si="6"/>
        <v>639.33556621880894</v>
      </c>
      <c r="AZ11" s="4">
        <f t="shared" si="6"/>
        <v>674.45798464491259</v>
      </c>
      <c r="BA11" s="4">
        <f t="shared" si="6"/>
        <v>698.27669865642872</v>
      </c>
      <c r="BB11" s="4">
        <f t="shared" si="6"/>
        <v>897.7292322456799</v>
      </c>
      <c r="BC11" s="4">
        <f t="shared" si="6"/>
        <v>961.05387715930738</v>
      </c>
      <c r="BD11" s="4">
        <f t="shared" si="6"/>
        <v>966.19241842610199</v>
      </c>
      <c r="BE11" s="4">
        <f t="shared" si="6"/>
        <v>982.52602687139949</v>
      </c>
      <c r="BF11" s="4">
        <f t="shared" si="6"/>
        <v>985.77971209212888</v>
      </c>
      <c r="BG11" s="4">
        <f t="shared" si="6"/>
        <v>1013.8624376199599</v>
      </c>
      <c r="BH11" s="4">
        <f t="shared" si="6"/>
        <v>1342.1858925143931</v>
      </c>
      <c r="BI11" s="4">
        <f t="shared" si="6"/>
        <v>1545.9133013435676</v>
      </c>
      <c r="BJ11" s="4">
        <f t="shared" si="6"/>
        <v>1682.3725335892486</v>
      </c>
      <c r="BK11" s="4">
        <f t="shared" si="6"/>
        <v>1965.0140307101694</v>
      </c>
      <c r="BL11" s="4">
        <f t="shared" si="6"/>
        <v>2822.3736660268669</v>
      </c>
      <c r="BM11" s="4">
        <f t="shared" si="6"/>
        <v>2998.3496928982677</v>
      </c>
      <c r="BN11" s="4">
        <f t="shared" si="6"/>
        <v>3242.9844529750426</v>
      </c>
      <c r="BO11" s="4">
        <f t="shared" ref="BO11:CR11" si="7">+BO9*0.543186180422264</f>
        <v>3444.1806142034488</v>
      </c>
      <c r="BP11" s="4">
        <f t="shared" si="7"/>
        <v>3533.7411516314719</v>
      </c>
      <c r="BQ11" s="4">
        <f t="shared" si="7"/>
        <v>3534.224587332048</v>
      </c>
      <c r="BR11" s="4">
        <f t="shared" si="7"/>
        <v>3539.9932245681325</v>
      </c>
      <c r="BS11" s="4">
        <f t="shared" si="7"/>
        <v>3611.5905950095907</v>
      </c>
      <c r="BT11" s="4">
        <f t="shared" si="7"/>
        <v>3733.041593090205</v>
      </c>
      <c r="BU11" s="4">
        <f t="shared" si="7"/>
        <v>3795.9697120921242</v>
      </c>
      <c r="BV11" s="4">
        <f t="shared" si="7"/>
        <v>3905.6009788867495</v>
      </c>
      <c r="BW11" s="4">
        <f t="shared" si="7"/>
        <v>4086.7861612284</v>
      </c>
      <c r="BX11" s="4">
        <f t="shared" si="7"/>
        <v>4840.728579654502</v>
      </c>
      <c r="BY11" s="4">
        <f t="shared" si="7"/>
        <v>4971.7287907869395</v>
      </c>
      <c r="BZ11" s="4">
        <f t="shared" si="7"/>
        <v>5462.1172744721598</v>
      </c>
      <c r="CA11" s="4">
        <f t="shared" si="7"/>
        <v>5717.9742610364583</v>
      </c>
      <c r="CB11" s="4">
        <f t="shared" si="7"/>
        <v>5845.4111708253258</v>
      </c>
      <c r="CC11" s="4">
        <f t="shared" si="7"/>
        <v>5959.6377927063231</v>
      </c>
      <c r="CD11" s="4">
        <f t="shared" si="7"/>
        <v>5960.5720729366503</v>
      </c>
      <c r="CE11" s="4">
        <f t="shared" si="7"/>
        <v>5965.0424952015255</v>
      </c>
      <c r="CF11" s="4">
        <f t="shared" si="7"/>
        <v>5977.5086180422168</v>
      </c>
      <c r="CG11" s="4">
        <f t="shared" si="7"/>
        <v>6078.5466794625627</v>
      </c>
      <c r="CH11" s="4">
        <f t="shared" si="7"/>
        <v>6396.31602687139</v>
      </c>
      <c r="CI11" s="4">
        <f t="shared" si="7"/>
        <v>7226.9563339731167</v>
      </c>
      <c r="CJ11" s="4">
        <f t="shared" si="7"/>
        <v>8199.0151631477784</v>
      </c>
      <c r="CK11" s="4">
        <f t="shared" si="7"/>
        <v>8659.4740882917322</v>
      </c>
      <c r="CL11" s="4">
        <f t="shared" si="7"/>
        <v>9153.9799232245532</v>
      </c>
      <c r="CM11" s="4">
        <f t="shared" si="7"/>
        <v>9660.4521497120768</v>
      </c>
      <c r="CN11" s="4">
        <f t="shared" si="7"/>
        <v>9512.7652591170681</v>
      </c>
      <c r="CO11" s="4">
        <f t="shared" si="7"/>
        <v>9363.0740115162989</v>
      </c>
      <c r="CP11" s="4">
        <f t="shared" si="7"/>
        <v>9195.7726679462412</v>
      </c>
      <c r="CQ11" s="4">
        <f t="shared" si="7"/>
        <v>9075.6796353166828</v>
      </c>
      <c r="CR11" s="4">
        <f t="shared" si="7"/>
        <v>9091.1604414587182</v>
      </c>
    </row>
    <row r="12" spans="1:96">
      <c r="A12" t="s">
        <v>79</v>
      </c>
      <c r="B12" s="4">
        <v>188.28</v>
      </c>
      <c r="C12" s="4">
        <v>188.97</v>
      </c>
      <c r="D12" s="4">
        <v>188.82</v>
      </c>
      <c r="E12" s="4">
        <v>207.75</v>
      </c>
      <c r="F12" s="4">
        <v>216.44</v>
      </c>
      <c r="G12" s="4">
        <v>228.38</v>
      </c>
      <c r="H12" s="4">
        <v>243.03</v>
      </c>
      <c r="I12" s="4">
        <v>237.87</v>
      </c>
      <c r="J12" s="4">
        <v>241.67</v>
      </c>
      <c r="K12" s="5">
        <v>247</v>
      </c>
      <c r="L12" s="5">
        <v>252.97</v>
      </c>
      <c r="M12" s="5">
        <v>272.73</v>
      </c>
      <c r="N12" s="5">
        <v>277.75</v>
      </c>
      <c r="O12" s="5">
        <v>273.5</v>
      </c>
      <c r="P12" s="5">
        <v>277.77999999999997</v>
      </c>
      <c r="Q12" s="5">
        <v>309.57</v>
      </c>
      <c r="R12" s="5">
        <v>320.32</v>
      </c>
      <c r="S12" s="6">
        <v>336.21</v>
      </c>
      <c r="T12" s="7">
        <v>368.3</v>
      </c>
      <c r="U12" s="7">
        <v>357.3</v>
      </c>
      <c r="V12" s="7">
        <v>359.41</v>
      </c>
      <c r="W12" s="7">
        <v>379.21</v>
      </c>
      <c r="X12" s="7">
        <v>389.99</v>
      </c>
      <c r="Y12" s="7">
        <v>405.86</v>
      </c>
      <c r="Z12" s="7">
        <v>410.5</v>
      </c>
      <c r="AA12" s="7">
        <v>403.96</v>
      </c>
      <c r="AB12" s="7">
        <v>406.71</v>
      </c>
      <c r="AC12" s="7">
        <v>465.46</v>
      </c>
      <c r="AD12" s="8">
        <v>487.2</v>
      </c>
      <c r="AE12" s="8">
        <v>516.57000000000005</v>
      </c>
      <c r="AF12" s="8">
        <v>561.51</v>
      </c>
      <c r="AG12" s="8">
        <v>578.13</v>
      </c>
      <c r="AH12" s="8">
        <v>631.6</v>
      </c>
      <c r="AI12" s="8">
        <v>653.02</v>
      </c>
      <c r="AJ12" s="8">
        <v>672.27</v>
      </c>
      <c r="AK12" s="8">
        <v>695.68</v>
      </c>
      <c r="AL12" s="8">
        <v>688.88</v>
      </c>
      <c r="AM12" s="8">
        <v>684.17</v>
      </c>
      <c r="AN12" s="8">
        <v>697.3</v>
      </c>
      <c r="AO12" s="8">
        <v>760.98</v>
      </c>
      <c r="AP12" s="8">
        <v>823.89</v>
      </c>
      <c r="AQ12" s="8">
        <v>857.13</v>
      </c>
      <c r="AR12" s="8">
        <v>1003.68</v>
      </c>
      <c r="AS12" s="8">
        <v>994.96</v>
      </c>
      <c r="AT12" s="8">
        <v>1059.5899999999999</v>
      </c>
      <c r="AU12" s="8">
        <v>1157.25</v>
      </c>
      <c r="AV12" s="8">
        <v>1195.98</v>
      </c>
      <c r="AW12" s="8">
        <v>1213.8800000000001</v>
      </c>
      <c r="AX12" s="8">
        <v>1251.02</v>
      </c>
      <c r="AY12" s="8">
        <v>1256.8599999999999</v>
      </c>
      <c r="AZ12" s="8">
        <v>1293.02</v>
      </c>
      <c r="BA12" s="8">
        <v>1476.44</v>
      </c>
      <c r="BB12" s="8">
        <v>1576.55</v>
      </c>
      <c r="BC12" s="8">
        <v>1744.35</v>
      </c>
      <c r="BD12" s="8">
        <v>2075.83</v>
      </c>
      <c r="BE12" s="8">
        <v>2068.61</v>
      </c>
      <c r="BF12" s="8">
        <v>2292.3000000000002</v>
      </c>
      <c r="BG12" s="8">
        <v>2400.42</v>
      </c>
      <c r="BH12" s="8">
        <v>2790.8</v>
      </c>
      <c r="BI12" s="8">
        <v>3113.95</v>
      </c>
      <c r="BJ12" s="8">
        <v>3136.17</v>
      </c>
      <c r="BK12" s="8">
        <v>3246.41</v>
      </c>
      <c r="BL12" s="8">
        <v>3660.4</v>
      </c>
      <c r="BM12" s="8">
        <v>4892.71</v>
      </c>
      <c r="BN12" s="8">
        <v>5793.06</v>
      </c>
      <c r="BO12" s="8">
        <v>6355.3</v>
      </c>
      <c r="BP12" s="8">
        <v>6571.18</v>
      </c>
      <c r="BQ12" s="8">
        <v>6744.9</v>
      </c>
      <c r="BR12" s="8">
        <v>6972.11</v>
      </c>
      <c r="BS12" s="8">
        <v>7287.76</v>
      </c>
      <c r="BT12" s="8">
        <v>7573.39</v>
      </c>
      <c r="BU12" s="8">
        <v>7569.01</v>
      </c>
      <c r="BV12" s="8">
        <v>7483.12</v>
      </c>
      <c r="BW12" s="8">
        <v>7576.56</v>
      </c>
      <c r="BX12" s="8">
        <v>7850</v>
      </c>
      <c r="BY12" s="8">
        <v>8883.32</v>
      </c>
      <c r="BZ12" s="8">
        <v>8759.57</v>
      </c>
      <c r="CA12" s="8">
        <v>9328.8700000000008</v>
      </c>
      <c r="CB12" s="8">
        <v>10323.5</v>
      </c>
      <c r="CC12" s="8">
        <v>9835.0400000000009</v>
      </c>
      <c r="CD12" s="8">
        <v>9826</v>
      </c>
      <c r="CE12" s="8">
        <v>10022.42</v>
      </c>
      <c r="CF12" s="8">
        <v>10096.530000000001</v>
      </c>
      <c r="CG12" s="8">
        <v>10210.280000000001</v>
      </c>
      <c r="CH12" s="8">
        <v>10496.67</v>
      </c>
      <c r="CI12" s="8">
        <v>10533.24</v>
      </c>
      <c r="CJ12" s="8">
        <v>10611.88</v>
      </c>
      <c r="CK12" s="8">
        <v>11965.02</v>
      </c>
      <c r="CL12" s="8">
        <v>12225.38</v>
      </c>
      <c r="CM12" s="8">
        <v>13029.53</v>
      </c>
      <c r="CN12" s="8">
        <v>13638.94</v>
      </c>
      <c r="CO12" s="8">
        <v>13934.96</v>
      </c>
      <c r="CP12" s="8">
        <v>13861.77</v>
      </c>
      <c r="CQ12" s="8">
        <v>14200.12</v>
      </c>
      <c r="CR12" s="8">
        <v>14820.86</v>
      </c>
    </row>
    <row r="13" spans="1:96">
      <c r="A13" t="s">
        <v>80</v>
      </c>
      <c r="B13" s="4">
        <f>+B7*2.28275862068965</f>
        <v>140.09289655172384</v>
      </c>
      <c r="C13" s="4">
        <f t="shared" ref="C13:BN13" si="8">+C7*2.28275862068965</f>
        <v>143.28875862068935</v>
      </c>
      <c r="D13" s="4">
        <f t="shared" si="8"/>
        <v>146.7357241379307</v>
      </c>
      <c r="E13" s="4">
        <f t="shared" si="8"/>
        <v>151.39255172413758</v>
      </c>
      <c r="F13" s="4">
        <f t="shared" si="8"/>
        <v>164.54124137930998</v>
      </c>
      <c r="G13" s="4">
        <f t="shared" si="8"/>
        <v>206.38420689655126</v>
      </c>
      <c r="H13" s="4">
        <f t="shared" si="8"/>
        <v>209.51158620689608</v>
      </c>
      <c r="I13" s="4">
        <f t="shared" si="8"/>
        <v>193.23551724137891</v>
      </c>
      <c r="J13" s="4">
        <f t="shared" si="8"/>
        <v>191.75172413793061</v>
      </c>
      <c r="K13" s="4">
        <f t="shared" si="8"/>
        <v>184.26427586206856</v>
      </c>
      <c r="L13" s="4">
        <f t="shared" si="8"/>
        <v>191.47779310344785</v>
      </c>
      <c r="M13" s="4">
        <f t="shared" si="8"/>
        <v>218.89372413793055</v>
      </c>
      <c r="N13" s="4">
        <f t="shared" si="8"/>
        <v>224.44082758620638</v>
      </c>
      <c r="O13" s="4">
        <f t="shared" si="8"/>
        <v>230.94668965517192</v>
      </c>
      <c r="P13" s="4">
        <f t="shared" si="8"/>
        <v>233.93710344827537</v>
      </c>
      <c r="Q13" s="4">
        <f t="shared" si="8"/>
        <v>244.34648275862017</v>
      </c>
      <c r="R13" s="4">
        <f t="shared" si="8"/>
        <v>247.61082758620634</v>
      </c>
      <c r="S13" s="4">
        <f t="shared" si="8"/>
        <v>270.78082758620633</v>
      </c>
      <c r="T13" s="4">
        <f t="shared" si="8"/>
        <v>270.2101379310339</v>
      </c>
      <c r="U13" s="4">
        <f t="shared" si="8"/>
        <v>255.50917241379256</v>
      </c>
      <c r="V13" s="4">
        <f t="shared" si="8"/>
        <v>254.91565517241324</v>
      </c>
      <c r="W13" s="4">
        <f t="shared" si="8"/>
        <v>262.01503448275804</v>
      </c>
      <c r="X13" s="4">
        <f t="shared" si="8"/>
        <v>272.2189655172408</v>
      </c>
      <c r="Y13" s="4">
        <f t="shared" si="8"/>
        <v>278.72482758620629</v>
      </c>
      <c r="Z13" s="4">
        <f t="shared" si="8"/>
        <v>302.28289655172347</v>
      </c>
      <c r="AA13" s="4">
        <f t="shared" si="8"/>
        <v>304.8624137931028</v>
      </c>
      <c r="AB13" s="4">
        <f t="shared" si="8"/>
        <v>353.80475862068892</v>
      </c>
      <c r="AC13" s="4">
        <f t="shared" si="8"/>
        <v>367.50131034482678</v>
      </c>
      <c r="AD13" s="4">
        <f t="shared" si="8"/>
        <v>384.873103448275</v>
      </c>
      <c r="AE13" s="4">
        <f t="shared" si="8"/>
        <v>399.7338620689647</v>
      </c>
      <c r="AF13" s="4">
        <f t="shared" si="8"/>
        <v>407.26696551724046</v>
      </c>
      <c r="AG13" s="4">
        <f t="shared" si="8"/>
        <v>412.19772413793009</v>
      </c>
      <c r="AH13" s="4">
        <f t="shared" si="8"/>
        <v>435.04813793103358</v>
      </c>
      <c r="AI13" s="4">
        <f t="shared" si="8"/>
        <v>442.07903448275766</v>
      </c>
      <c r="AJ13" s="4">
        <f t="shared" si="8"/>
        <v>453.49282758620592</v>
      </c>
      <c r="AK13" s="4">
        <f t="shared" si="8"/>
        <v>469.17537931034383</v>
      </c>
      <c r="AL13" s="4">
        <f t="shared" si="8"/>
        <v>476.36606896551621</v>
      </c>
      <c r="AM13" s="4">
        <f t="shared" si="8"/>
        <v>496.77393103448168</v>
      </c>
      <c r="AN13" s="4">
        <f t="shared" si="8"/>
        <v>510.51613793103331</v>
      </c>
      <c r="AO13" s="4">
        <f t="shared" si="8"/>
        <v>523.55068965517125</v>
      </c>
      <c r="AP13" s="4">
        <f t="shared" si="8"/>
        <v>548.7066896551712</v>
      </c>
      <c r="AQ13" s="4">
        <f t="shared" si="8"/>
        <v>631.38820689655029</v>
      </c>
      <c r="AR13" s="4">
        <f t="shared" si="8"/>
        <v>707.65517241379155</v>
      </c>
      <c r="AS13" s="4">
        <f t="shared" si="8"/>
        <v>766.5959999999983</v>
      </c>
      <c r="AT13" s="4">
        <f t="shared" si="8"/>
        <v>814.23717241379131</v>
      </c>
      <c r="AU13" s="4">
        <f t="shared" si="8"/>
        <v>839.16489655172234</v>
      </c>
      <c r="AV13" s="4">
        <f t="shared" si="8"/>
        <v>868.29289655172227</v>
      </c>
      <c r="AW13" s="4">
        <f t="shared" si="8"/>
        <v>924.22048275861869</v>
      </c>
      <c r="AX13" s="4">
        <f t="shared" si="8"/>
        <v>969.39627586206689</v>
      </c>
      <c r="AY13" s="4">
        <f t="shared" si="8"/>
        <v>974.32703448275652</v>
      </c>
      <c r="AZ13" s="4">
        <f t="shared" si="8"/>
        <v>998.20468965517023</v>
      </c>
      <c r="BA13" s="4">
        <f t="shared" si="8"/>
        <v>1033.9526896551702</v>
      </c>
      <c r="BB13" s="4">
        <f t="shared" si="8"/>
        <v>1103.8279310344803</v>
      </c>
      <c r="BC13" s="4">
        <f t="shared" si="8"/>
        <v>1398.1896551724108</v>
      </c>
      <c r="BD13" s="4">
        <f t="shared" si="8"/>
        <v>1767.6084827586169</v>
      </c>
      <c r="BE13" s="4">
        <f t="shared" si="8"/>
        <v>1658.1045517241344</v>
      </c>
      <c r="BF13" s="4">
        <f t="shared" si="8"/>
        <v>1569.9900689655137</v>
      </c>
      <c r="BG13" s="4">
        <f t="shared" si="8"/>
        <v>1590.9457931034449</v>
      </c>
      <c r="BH13" s="4">
        <f t="shared" si="8"/>
        <v>1918.3618620689613</v>
      </c>
      <c r="BI13" s="4">
        <f t="shared" si="8"/>
        <v>2267.6924137930982</v>
      </c>
      <c r="BJ13" s="4">
        <f t="shared" si="8"/>
        <v>2511.9247586206843</v>
      </c>
      <c r="BK13" s="4">
        <f t="shared" si="8"/>
        <v>2910.6998620689592</v>
      </c>
      <c r="BL13" s="4">
        <f t="shared" si="8"/>
        <v>3772.7836551724058</v>
      </c>
      <c r="BM13" s="4">
        <f t="shared" si="8"/>
        <v>4297.7268275861979</v>
      </c>
      <c r="BN13" s="4">
        <f t="shared" si="8"/>
        <v>4782.1510344827484</v>
      </c>
      <c r="BO13" s="4">
        <f t="shared" ref="BO13:CR13" si="9">+BO7*2.28275862068965</f>
        <v>5410.7542758620575</v>
      </c>
      <c r="BP13" s="4">
        <f t="shared" si="9"/>
        <v>5855.1617241379181</v>
      </c>
      <c r="BQ13" s="4">
        <f t="shared" si="9"/>
        <v>5930.7895172413664</v>
      </c>
      <c r="BR13" s="4">
        <f t="shared" si="9"/>
        <v>5940.3542758620561</v>
      </c>
      <c r="BS13" s="4">
        <f t="shared" si="9"/>
        <v>6070.1062758620556</v>
      </c>
      <c r="BT13" s="4">
        <f t="shared" si="9"/>
        <v>6514.3311034482613</v>
      </c>
      <c r="BU13" s="4">
        <f t="shared" si="9"/>
        <v>6853.4348965517092</v>
      </c>
      <c r="BV13" s="4">
        <f t="shared" si="9"/>
        <v>6807.3459999999859</v>
      </c>
      <c r="BW13" s="4">
        <f t="shared" si="9"/>
        <v>6865.0769655172271</v>
      </c>
      <c r="BX13" s="4">
        <f t="shared" si="9"/>
        <v>7165.3738620689492</v>
      </c>
      <c r="BY13" s="4">
        <f t="shared" si="9"/>
        <v>7041.0548275861911</v>
      </c>
      <c r="BZ13" s="4">
        <f t="shared" si="9"/>
        <v>7068.0826896551571</v>
      </c>
      <c r="CA13" s="4">
        <f t="shared" si="9"/>
        <v>7801.0308275861898</v>
      </c>
      <c r="CB13" s="4">
        <f t="shared" si="9"/>
        <v>8486.8171724137737</v>
      </c>
      <c r="CC13" s="4">
        <f t="shared" si="9"/>
        <v>8525.7838620689472</v>
      </c>
      <c r="CD13" s="4">
        <f t="shared" si="9"/>
        <v>8468.8518620689465</v>
      </c>
      <c r="CE13" s="4">
        <f t="shared" si="9"/>
        <v>8925.67751724136</v>
      </c>
      <c r="CF13" s="4">
        <f t="shared" si="9"/>
        <v>8784.694344827567</v>
      </c>
      <c r="CG13" s="4">
        <f t="shared" si="9"/>
        <v>8498.2081379310166</v>
      </c>
      <c r="CH13" s="4">
        <f t="shared" si="9"/>
        <v>8404.2497931034304</v>
      </c>
      <c r="CI13" s="4">
        <f t="shared" si="9"/>
        <v>8316.0439999999817</v>
      </c>
      <c r="CJ13" s="4">
        <f t="shared" si="9"/>
        <v>8538.1107586206708</v>
      </c>
      <c r="CK13" s="4">
        <f t="shared" si="9"/>
        <v>9301.4195862068755</v>
      </c>
      <c r="CL13" s="4">
        <f t="shared" si="9"/>
        <v>10247.280620689633</v>
      </c>
      <c r="CM13" s="4">
        <f t="shared" si="9"/>
        <v>11017.643172413769</v>
      </c>
      <c r="CN13" s="4">
        <f t="shared" si="9"/>
        <v>10916.220206896527</v>
      </c>
      <c r="CO13" s="4">
        <f t="shared" si="9"/>
        <v>10944.024206896527</v>
      </c>
      <c r="CP13" s="4">
        <f t="shared" si="9"/>
        <v>11004.768413793079</v>
      </c>
      <c r="CQ13" s="4">
        <f t="shared" si="9"/>
        <v>10971.211862068942</v>
      </c>
      <c r="CR13" s="4">
        <f t="shared" si="9"/>
        <v>10911.905793103426</v>
      </c>
    </row>
    <row r="14" spans="1:96">
      <c r="A14" t="s">
        <v>81</v>
      </c>
      <c r="B14" s="4">
        <v>209.94</v>
      </c>
      <c r="C14" s="4">
        <v>211.67</v>
      </c>
      <c r="D14" s="4">
        <v>210.74</v>
      </c>
      <c r="E14" s="4">
        <v>225.78</v>
      </c>
      <c r="F14" s="4">
        <v>261</v>
      </c>
      <c r="G14" s="4">
        <v>274.83</v>
      </c>
      <c r="H14" s="4">
        <v>277.73</v>
      </c>
      <c r="I14" s="4">
        <v>277.8</v>
      </c>
      <c r="J14" s="4">
        <v>277.33999999999997</v>
      </c>
      <c r="K14" s="5">
        <v>278.08</v>
      </c>
      <c r="L14" s="5">
        <v>288.73</v>
      </c>
      <c r="M14" s="5">
        <v>299.76</v>
      </c>
      <c r="N14" s="5">
        <v>300.64999999999998</v>
      </c>
      <c r="O14" s="5">
        <v>329.9</v>
      </c>
      <c r="P14" s="5">
        <v>352.2</v>
      </c>
      <c r="Q14" s="5">
        <v>368.24</v>
      </c>
      <c r="R14" s="5">
        <v>376.13</v>
      </c>
      <c r="S14" s="6">
        <v>386.83</v>
      </c>
      <c r="T14" s="7">
        <v>410.29</v>
      </c>
      <c r="U14" s="7">
        <v>407.07</v>
      </c>
      <c r="V14" s="7">
        <v>413.77</v>
      </c>
      <c r="W14" s="7">
        <v>425.29</v>
      </c>
      <c r="X14" s="7">
        <v>439.43</v>
      </c>
      <c r="Y14" s="7">
        <v>444.08</v>
      </c>
      <c r="Z14" s="7">
        <v>449.52</v>
      </c>
      <c r="AA14" s="7">
        <v>472.95</v>
      </c>
      <c r="AB14" s="7">
        <v>564.45000000000005</v>
      </c>
      <c r="AC14" s="7">
        <v>622.62</v>
      </c>
      <c r="AD14" s="8">
        <v>628.80999999999995</v>
      </c>
      <c r="AE14" s="8">
        <v>671.99</v>
      </c>
      <c r="AF14" s="8">
        <v>717.5</v>
      </c>
      <c r="AG14" s="8">
        <v>758.23</v>
      </c>
      <c r="AH14" s="8">
        <v>798.64</v>
      </c>
      <c r="AI14" s="8">
        <v>791.63</v>
      </c>
      <c r="AJ14" s="8">
        <v>788.91</v>
      </c>
      <c r="AK14" s="8">
        <v>786.01</v>
      </c>
      <c r="AL14" s="8">
        <v>789.52</v>
      </c>
      <c r="AM14" s="8">
        <v>853.14</v>
      </c>
      <c r="AN14" s="8">
        <v>944.9</v>
      </c>
      <c r="AO14" s="8">
        <v>949.33</v>
      </c>
      <c r="AP14" s="8">
        <v>1012.1</v>
      </c>
      <c r="AQ14" s="8">
        <v>1092.08</v>
      </c>
      <c r="AR14" s="8">
        <v>1176.19</v>
      </c>
      <c r="AS14" s="8">
        <v>1263.76</v>
      </c>
      <c r="AT14" s="8">
        <v>1267.03</v>
      </c>
      <c r="AU14" s="8">
        <v>1255.97</v>
      </c>
      <c r="AV14" s="8">
        <v>1277.9100000000001</v>
      </c>
      <c r="AW14" s="8">
        <v>1316.15</v>
      </c>
      <c r="AX14" s="8">
        <v>1359.33</v>
      </c>
      <c r="AY14" s="8">
        <v>1343.66</v>
      </c>
      <c r="AZ14" s="8">
        <v>1361.71</v>
      </c>
      <c r="BA14" s="8">
        <v>1414.62</v>
      </c>
      <c r="BB14" s="8">
        <v>1900.37</v>
      </c>
      <c r="BC14" s="8">
        <v>2086.58</v>
      </c>
      <c r="BD14" s="8">
        <v>2140.09</v>
      </c>
      <c r="BE14" s="8">
        <v>2184.5500000000002</v>
      </c>
      <c r="BF14" s="8">
        <v>2204.2800000000002</v>
      </c>
      <c r="BG14" s="8">
        <v>2260.91</v>
      </c>
      <c r="BH14" s="8">
        <v>3014.67</v>
      </c>
      <c r="BI14" s="8">
        <v>3545.97</v>
      </c>
      <c r="BJ14" s="8">
        <v>3771.93</v>
      </c>
      <c r="BK14" s="8">
        <v>4224.45</v>
      </c>
      <c r="BL14" s="8">
        <v>6034.42</v>
      </c>
      <c r="BM14" s="8">
        <v>6603.24</v>
      </c>
      <c r="BN14" s="8">
        <v>7038.68</v>
      </c>
      <c r="BO14" s="8">
        <v>7753.98</v>
      </c>
      <c r="BP14" s="8">
        <v>8096.05</v>
      </c>
      <c r="BQ14" s="8">
        <v>8323.18</v>
      </c>
      <c r="BR14" s="8">
        <v>8476.58</v>
      </c>
      <c r="BS14" s="8">
        <v>8630.26</v>
      </c>
      <c r="BT14" s="8">
        <v>8794.59</v>
      </c>
      <c r="BU14" s="8">
        <v>8904.6</v>
      </c>
      <c r="BV14" s="8">
        <v>8888.93</v>
      </c>
      <c r="BW14" s="8">
        <v>9131.39</v>
      </c>
      <c r="BX14" s="8">
        <v>10273.77</v>
      </c>
      <c r="BY14" s="8">
        <v>10551.6</v>
      </c>
      <c r="BZ14" s="8">
        <v>11931.66</v>
      </c>
      <c r="CA14" s="8">
        <v>12941.32</v>
      </c>
      <c r="CB14" s="8">
        <v>13374.74</v>
      </c>
      <c r="CC14" s="8">
        <v>13580.76</v>
      </c>
      <c r="CD14" s="8">
        <v>13742.74</v>
      </c>
      <c r="CE14" s="8">
        <v>13674.73</v>
      </c>
      <c r="CF14" s="8">
        <v>13891.5</v>
      </c>
      <c r="CG14" s="8">
        <v>14247.87</v>
      </c>
      <c r="CH14" s="8">
        <v>14686.83</v>
      </c>
      <c r="CI14" s="8">
        <v>16063.71</v>
      </c>
      <c r="CJ14" s="8">
        <v>17733.28</v>
      </c>
      <c r="CK14" s="8">
        <v>18324.169999999998</v>
      </c>
      <c r="CL14" s="8">
        <v>19792.7</v>
      </c>
      <c r="CM14" s="8">
        <v>21309.27</v>
      </c>
      <c r="CN14" s="8">
        <v>21325.95</v>
      </c>
      <c r="CO14" s="8">
        <v>21163.919999999998</v>
      </c>
      <c r="CP14" s="8">
        <v>21053.200000000001</v>
      </c>
      <c r="CQ14" s="8">
        <v>21005.06</v>
      </c>
      <c r="CR14" s="8">
        <v>21102.92</v>
      </c>
    </row>
    <row r="15" spans="1:96">
      <c r="A15" t="s">
        <v>82</v>
      </c>
      <c r="B15" s="4">
        <v>216.43</v>
      </c>
      <c r="C15" s="4">
        <v>217.16</v>
      </c>
      <c r="D15" s="4">
        <v>218.12</v>
      </c>
      <c r="E15" s="4">
        <v>232.76</v>
      </c>
      <c r="F15" s="4">
        <v>267.67</v>
      </c>
      <c r="G15" s="4">
        <v>283.42</v>
      </c>
      <c r="H15" s="4">
        <v>285.08</v>
      </c>
      <c r="I15" s="4">
        <v>283.16000000000003</v>
      </c>
      <c r="J15" s="4">
        <v>285.85000000000002</v>
      </c>
      <c r="K15" s="5">
        <v>287.86</v>
      </c>
      <c r="L15" s="5">
        <v>299.55</v>
      </c>
      <c r="M15" s="5">
        <v>311.14</v>
      </c>
      <c r="N15" s="5">
        <v>313.32</v>
      </c>
      <c r="O15" s="5">
        <v>340.41</v>
      </c>
      <c r="P15" s="5">
        <v>363.05</v>
      </c>
      <c r="Q15" s="5">
        <v>383.12</v>
      </c>
      <c r="R15" s="5">
        <v>392.1</v>
      </c>
      <c r="S15" s="6">
        <v>415.79</v>
      </c>
      <c r="T15" s="7">
        <v>429.47</v>
      </c>
      <c r="U15" s="7">
        <v>435.86</v>
      </c>
      <c r="V15" s="7">
        <v>438.21</v>
      </c>
      <c r="W15" s="7">
        <v>453.2</v>
      </c>
      <c r="X15" s="7">
        <v>466.6</v>
      </c>
      <c r="Y15" s="7">
        <v>474.71</v>
      </c>
      <c r="Z15" s="7">
        <v>482.88</v>
      </c>
      <c r="AA15" s="7">
        <v>514.25</v>
      </c>
      <c r="AB15" s="7">
        <v>616.98</v>
      </c>
      <c r="AC15" s="7">
        <v>654.45000000000005</v>
      </c>
      <c r="AD15" s="8">
        <v>665.88</v>
      </c>
      <c r="AE15" s="8">
        <v>725.26</v>
      </c>
      <c r="AF15" s="8">
        <v>756.65</v>
      </c>
      <c r="AG15" s="8">
        <v>801.47</v>
      </c>
      <c r="AH15" s="8">
        <v>839.06</v>
      </c>
      <c r="AI15" s="8">
        <v>827.7</v>
      </c>
      <c r="AJ15" s="8">
        <v>837</v>
      </c>
      <c r="AK15" s="8">
        <v>832.11</v>
      </c>
      <c r="AL15" s="8">
        <v>837.3</v>
      </c>
      <c r="AM15" s="8">
        <v>913</v>
      </c>
      <c r="AN15" s="8">
        <v>1022.84</v>
      </c>
      <c r="AO15" s="8">
        <v>1019.53</v>
      </c>
      <c r="AP15" s="8">
        <v>1098.52</v>
      </c>
      <c r="AQ15" s="8">
        <v>1184.1099999999999</v>
      </c>
      <c r="AR15" s="8">
        <v>1276.21</v>
      </c>
      <c r="AS15" s="8">
        <v>1340.27</v>
      </c>
      <c r="AT15" s="8">
        <v>1344.26</v>
      </c>
      <c r="AU15" s="8">
        <v>1340.45</v>
      </c>
      <c r="AV15" s="8">
        <v>1350.59</v>
      </c>
      <c r="AW15" s="8">
        <v>1392.23</v>
      </c>
      <c r="AX15" s="8">
        <v>1423.85</v>
      </c>
      <c r="AY15" s="8">
        <v>1434.24</v>
      </c>
      <c r="AZ15" s="8">
        <v>1469.43</v>
      </c>
      <c r="BA15" s="8">
        <v>1518.56</v>
      </c>
      <c r="BB15" s="8">
        <v>2016.46</v>
      </c>
      <c r="BC15" s="8">
        <v>2224.7600000000002</v>
      </c>
      <c r="BD15" s="8">
        <v>2279.52</v>
      </c>
      <c r="BE15" s="8">
        <v>2340.9499999999998</v>
      </c>
      <c r="BF15" s="8">
        <v>2357.4499999999998</v>
      </c>
      <c r="BG15" s="8">
        <v>2412.0700000000002</v>
      </c>
      <c r="BH15" s="8">
        <v>3204.08</v>
      </c>
      <c r="BI15" s="8">
        <v>3710.69</v>
      </c>
      <c r="BJ15" s="8">
        <v>3918.8</v>
      </c>
      <c r="BK15" s="8">
        <v>4492.7700000000004</v>
      </c>
      <c r="BL15" s="8">
        <v>6301.84</v>
      </c>
      <c r="BM15" s="8">
        <v>6954.57</v>
      </c>
      <c r="BN15" s="8">
        <v>7574.22</v>
      </c>
      <c r="BO15" s="8">
        <v>8255.58</v>
      </c>
      <c r="BP15" s="8">
        <v>8636.61</v>
      </c>
      <c r="BQ15" s="8">
        <v>8715.94</v>
      </c>
      <c r="BR15" s="8">
        <v>8917.36</v>
      </c>
      <c r="BS15" s="8">
        <v>9031.74</v>
      </c>
      <c r="BT15" s="8">
        <v>9217.02</v>
      </c>
      <c r="BU15" s="8">
        <v>9329.51</v>
      </c>
      <c r="BV15" s="8">
        <v>9302.59</v>
      </c>
      <c r="BW15" s="8">
        <v>9639.9</v>
      </c>
      <c r="BX15" s="8">
        <v>10835.89</v>
      </c>
      <c r="BY15" s="8">
        <v>11147.5</v>
      </c>
      <c r="BZ15" s="8">
        <v>12660.99</v>
      </c>
      <c r="CA15" s="8">
        <v>13558.89</v>
      </c>
      <c r="CB15" s="8">
        <v>14075.13</v>
      </c>
      <c r="CC15" s="8">
        <v>14234.55</v>
      </c>
      <c r="CD15" s="8">
        <v>14323.26</v>
      </c>
      <c r="CE15" s="8">
        <v>14379.81</v>
      </c>
      <c r="CF15" s="8">
        <v>14508.24</v>
      </c>
      <c r="CG15" s="8">
        <v>14598.47</v>
      </c>
      <c r="CH15" s="8">
        <v>15191.59</v>
      </c>
      <c r="CI15" s="8">
        <v>16740.11</v>
      </c>
      <c r="CJ15" s="8">
        <v>18390.080000000002</v>
      </c>
      <c r="CK15" s="8">
        <v>18998.900000000001</v>
      </c>
      <c r="CL15" s="8">
        <v>20527.52</v>
      </c>
      <c r="CM15" s="8">
        <v>22100.560000000001</v>
      </c>
      <c r="CN15" s="8">
        <v>21951.9</v>
      </c>
      <c r="CO15" s="8">
        <v>21810.46</v>
      </c>
      <c r="CP15" s="8">
        <v>21611.61</v>
      </c>
      <c r="CQ15" s="8">
        <v>21447.8</v>
      </c>
      <c r="CR15" s="8">
        <v>21763.38</v>
      </c>
    </row>
    <row r="16" spans="1:96">
      <c r="A16" t="s">
        <v>83</v>
      </c>
      <c r="B16" s="4">
        <v>174.76</v>
      </c>
      <c r="C16" s="4">
        <v>174.79</v>
      </c>
      <c r="D16" s="4">
        <v>174.81</v>
      </c>
      <c r="E16" s="4">
        <v>186.18</v>
      </c>
      <c r="F16" s="4">
        <v>213.24</v>
      </c>
      <c r="G16" s="4">
        <v>227.53</v>
      </c>
      <c r="H16" s="4">
        <v>229.84</v>
      </c>
      <c r="I16" s="4">
        <v>230.68</v>
      </c>
      <c r="J16" s="4">
        <v>231.38</v>
      </c>
      <c r="K16" s="5">
        <v>232.39</v>
      </c>
      <c r="L16" s="5">
        <v>239.86</v>
      </c>
      <c r="M16" s="5">
        <v>249.1</v>
      </c>
      <c r="N16" s="5">
        <v>247.08</v>
      </c>
      <c r="O16" s="5">
        <v>267.63</v>
      </c>
      <c r="P16" s="5">
        <v>276.73</v>
      </c>
      <c r="Q16" s="5">
        <v>302.14</v>
      </c>
      <c r="R16" s="5">
        <v>303.39999999999998</v>
      </c>
      <c r="S16" s="6">
        <v>311.70999999999998</v>
      </c>
      <c r="T16" s="7">
        <v>339.36</v>
      </c>
      <c r="U16" s="7">
        <v>347.47</v>
      </c>
      <c r="V16" s="7">
        <v>347.5</v>
      </c>
      <c r="W16" s="7">
        <v>360.57</v>
      </c>
      <c r="X16" s="7">
        <v>371.98</v>
      </c>
      <c r="Y16" s="7">
        <v>375.96</v>
      </c>
      <c r="Z16" s="7">
        <v>377.88</v>
      </c>
      <c r="AA16" s="7">
        <v>401.15</v>
      </c>
      <c r="AB16" s="7">
        <v>462.44</v>
      </c>
      <c r="AC16" s="7">
        <v>505.24</v>
      </c>
      <c r="AD16" s="8">
        <v>519.32000000000005</v>
      </c>
      <c r="AE16" s="8">
        <v>563.55999999999995</v>
      </c>
      <c r="AF16" s="8">
        <v>589.91999999999996</v>
      </c>
      <c r="AG16" s="8">
        <v>629.25</v>
      </c>
      <c r="AH16" s="8">
        <v>679.28</v>
      </c>
      <c r="AI16" s="8">
        <v>675.94</v>
      </c>
      <c r="AJ16" s="8">
        <v>663.27</v>
      </c>
      <c r="AK16" s="8">
        <v>656.04</v>
      </c>
      <c r="AL16" s="8">
        <v>648.92999999999995</v>
      </c>
      <c r="AM16" s="8">
        <v>702.98</v>
      </c>
      <c r="AN16" s="8">
        <v>764.82</v>
      </c>
      <c r="AO16" s="8">
        <v>773</v>
      </c>
      <c r="AP16" s="8">
        <v>833.13</v>
      </c>
      <c r="AQ16" s="8">
        <v>898.84</v>
      </c>
      <c r="AR16" s="8">
        <v>975.31</v>
      </c>
      <c r="AS16" s="8">
        <v>1039.77</v>
      </c>
      <c r="AT16" s="8">
        <v>1051.3900000000001</v>
      </c>
      <c r="AU16" s="8">
        <v>1058.2</v>
      </c>
      <c r="AV16" s="8">
        <v>1063.03</v>
      </c>
      <c r="AW16" s="8">
        <v>1082.24</v>
      </c>
      <c r="AX16" s="8">
        <v>1107.1600000000001</v>
      </c>
      <c r="AY16" s="8">
        <v>1102.04</v>
      </c>
      <c r="AZ16" s="8">
        <v>1110.78</v>
      </c>
      <c r="BA16" s="8">
        <v>1153.99</v>
      </c>
      <c r="BB16" s="8">
        <v>1540.93</v>
      </c>
      <c r="BC16" s="8">
        <v>1692.36</v>
      </c>
      <c r="BD16" s="8">
        <v>1766.47</v>
      </c>
      <c r="BE16" s="8">
        <v>1796.39</v>
      </c>
      <c r="BF16" s="8">
        <v>1825.37</v>
      </c>
      <c r="BG16" s="8">
        <v>1855.76</v>
      </c>
      <c r="BH16" s="8">
        <v>2487.86</v>
      </c>
      <c r="BI16" s="8">
        <v>2894.66</v>
      </c>
      <c r="BJ16" s="8">
        <v>3062.96</v>
      </c>
      <c r="BK16" s="8">
        <v>3455.57</v>
      </c>
      <c r="BL16" s="8">
        <v>4782.7</v>
      </c>
      <c r="BM16" s="8">
        <v>5217.3999999999996</v>
      </c>
      <c r="BN16" s="8">
        <v>5859.45</v>
      </c>
      <c r="BO16" s="8">
        <v>6557.49</v>
      </c>
      <c r="BP16" s="8">
        <v>6933.32</v>
      </c>
      <c r="BQ16" s="8">
        <v>7146.93</v>
      </c>
      <c r="BR16" s="8">
        <v>7318.62</v>
      </c>
      <c r="BS16" s="8">
        <v>7388.36</v>
      </c>
      <c r="BT16" s="8">
        <v>7520.91</v>
      </c>
      <c r="BU16" s="8">
        <v>7549.34</v>
      </c>
      <c r="BV16" s="8">
        <v>7532.4</v>
      </c>
      <c r="BW16" s="8">
        <v>7608.72</v>
      </c>
      <c r="BX16" s="8">
        <v>8329.7199999999993</v>
      </c>
      <c r="BY16" s="8">
        <v>8478.6</v>
      </c>
      <c r="BZ16" s="8">
        <v>9547.3700000000008</v>
      </c>
      <c r="CA16" s="8">
        <v>10264.14</v>
      </c>
      <c r="CB16" s="8">
        <v>10856.74</v>
      </c>
      <c r="CC16" s="8">
        <v>10947.66</v>
      </c>
      <c r="CD16" s="8">
        <v>11205.03</v>
      </c>
      <c r="CE16" s="8">
        <v>11363.72</v>
      </c>
      <c r="CF16" s="8">
        <v>11489.51</v>
      </c>
      <c r="CG16" s="8">
        <v>11643.72</v>
      </c>
      <c r="CH16" s="8">
        <v>12018.19</v>
      </c>
      <c r="CI16" s="8">
        <v>13024.15</v>
      </c>
      <c r="CJ16" s="8">
        <v>14263.11</v>
      </c>
      <c r="CK16" s="8">
        <v>14639.01</v>
      </c>
      <c r="CL16" s="8">
        <v>15817.93</v>
      </c>
      <c r="CM16" s="8">
        <v>17088.45</v>
      </c>
      <c r="CN16" s="8">
        <v>17126.23</v>
      </c>
      <c r="CO16" s="8">
        <v>17110.43</v>
      </c>
      <c r="CP16" s="8">
        <v>17207.39</v>
      </c>
      <c r="CQ16" s="8">
        <v>17186.259999999998</v>
      </c>
      <c r="CR16" s="8">
        <v>17119.61</v>
      </c>
    </row>
    <row r="17" spans="1:96">
      <c r="A17" t="s">
        <v>84</v>
      </c>
      <c r="B17" s="4">
        <f>+B9*1.47984644913627</f>
        <v>250.93756238003729</v>
      </c>
      <c r="C17" s="4">
        <f t="shared" ref="C17:BN17" si="10">+C9*1.47984644913627</f>
        <v>254.25241842610254</v>
      </c>
      <c r="D17" s="4">
        <f t="shared" si="10"/>
        <v>259.20990403070903</v>
      </c>
      <c r="E17" s="4">
        <f t="shared" si="10"/>
        <v>276.59809980806023</v>
      </c>
      <c r="F17" s="4">
        <f t="shared" si="10"/>
        <v>310.64936660268575</v>
      </c>
      <c r="G17" s="4">
        <f t="shared" si="10"/>
        <v>325.40343570057439</v>
      </c>
      <c r="H17" s="4">
        <f t="shared" si="10"/>
        <v>326.23214971209069</v>
      </c>
      <c r="I17" s="4">
        <f t="shared" si="10"/>
        <v>326.7204990403057</v>
      </c>
      <c r="J17" s="4">
        <f t="shared" si="10"/>
        <v>323.67201535508497</v>
      </c>
      <c r="K17" s="4">
        <f t="shared" si="10"/>
        <v>323.65721689059359</v>
      </c>
      <c r="L17" s="4">
        <f t="shared" si="10"/>
        <v>333.05424184260892</v>
      </c>
      <c r="M17" s="4">
        <f t="shared" si="10"/>
        <v>346.25447216890444</v>
      </c>
      <c r="N17" s="4">
        <f t="shared" si="10"/>
        <v>351.56712092130363</v>
      </c>
      <c r="O17" s="4">
        <f t="shared" si="10"/>
        <v>389.61397312859714</v>
      </c>
      <c r="P17" s="4">
        <f t="shared" si="10"/>
        <v>427.83840690978701</v>
      </c>
      <c r="Q17" s="4">
        <f t="shared" si="10"/>
        <v>474.882725527829</v>
      </c>
      <c r="R17" s="4">
        <f t="shared" si="10"/>
        <v>468.40099808061211</v>
      </c>
      <c r="S17" s="4">
        <f t="shared" si="10"/>
        <v>473.0477159309001</v>
      </c>
      <c r="T17" s="4">
        <f t="shared" si="10"/>
        <v>479.73662188099598</v>
      </c>
      <c r="U17" s="4">
        <f t="shared" si="10"/>
        <v>475.94821497120716</v>
      </c>
      <c r="V17" s="4">
        <f t="shared" si="10"/>
        <v>485.71520153550654</v>
      </c>
      <c r="W17" s="4">
        <f t="shared" si="10"/>
        <v>507.11378119001699</v>
      </c>
      <c r="X17" s="4">
        <f t="shared" si="10"/>
        <v>520.12163147792489</v>
      </c>
      <c r="Y17" s="4">
        <f t="shared" si="10"/>
        <v>532.46355086372125</v>
      </c>
      <c r="Z17" s="4">
        <f t="shared" si="10"/>
        <v>551.62756238003601</v>
      </c>
      <c r="AA17" s="4">
        <f t="shared" si="10"/>
        <v>608.61644913627367</v>
      </c>
      <c r="AB17" s="4">
        <f t="shared" si="10"/>
        <v>782.35042226487178</v>
      </c>
      <c r="AC17" s="4">
        <f t="shared" si="10"/>
        <v>871.06721689059123</v>
      </c>
      <c r="AD17" s="4">
        <f t="shared" si="10"/>
        <v>866.46489443377743</v>
      </c>
      <c r="AE17" s="4">
        <f t="shared" si="10"/>
        <v>913.76078694817261</v>
      </c>
      <c r="AF17" s="4">
        <f t="shared" si="10"/>
        <v>939.5249136276351</v>
      </c>
      <c r="AG17" s="4">
        <f t="shared" si="10"/>
        <v>983.75752399231817</v>
      </c>
      <c r="AH17" s="4">
        <f t="shared" si="10"/>
        <v>1009.5808445297462</v>
      </c>
      <c r="AI17" s="4">
        <f t="shared" si="10"/>
        <v>1004.4161804222605</v>
      </c>
      <c r="AJ17" s="4">
        <f t="shared" si="10"/>
        <v>977.89733205373841</v>
      </c>
      <c r="AK17" s="4">
        <f t="shared" si="10"/>
        <v>984.08309021112814</v>
      </c>
      <c r="AL17" s="4">
        <f t="shared" si="10"/>
        <v>1002.0632245681338</v>
      </c>
      <c r="AM17" s="4">
        <f t="shared" si="10"/>
        <v>1129.4336084452927</v>
      </c>
      <c r="AN17" s="4">
        <f t="shared" si="10"/>
        <v>1309.0869673704358</v>
      </c>
      <c r="AO17" s="4">
        <f t="shared" si="10"/>
        <v>1319.5198848368464</v>
      </c>
      <c r="AP17" s="4">
        <f t="shared" si="10"/>
        <v>1358.3954510556562</v>
      </c>
      <c r="AQ17" s="4">
        <f t="shared" si="10"/>
        <v>1437.2120729366541</v>
      </c>
      <c r="AR17" s="4">
        <f t="shared" si="10"/>
        <v>1512.6398464491297</v>
      </c>
      <c r="AS17" s="4">
        <f t="shared" si="10"/>
        <v>1595.6296353166917</v>
      </c>
      <c r="AT17" s="4">
        <f t="shared" si="10"/>
        <v>1599.2404606525843</v>
      </c>
      <c r="AU17" s="4">
        <f t="shared" si="10"/>
        <v>1591.1752975047916</v>
      </c>
      <c r="AV17" s="4">
        <f t="shared" si="10"/>
        <v>1595.8664107485536</v>
      </c>
      <c r="AW17" s="4">
        <f t="shared" si="10"/>
        <v>1642.5851631477856</v>
      </c>
      <c r="AX17" s="4">
        <f t="shared" si="10"/>
        <v>1711.2944337811828</v>
      </c>
      <c r="AY17" s="4">
        <f t="shared" si="10"/>
        <v>1741.794069097881</v>
      </c>
      <c r="AZ17" s="4">
        <f t="shared" si="10"/>
        <v>1837.4809404990324</v>
      </c>
      <c r="BA17" s="4">
        <f t="shared" si="10"/>
        <v>1902.3722072936578</v>
      </c>
      <c r="BB17" s="4">
        <f t="shared" si="10"/>
        <v>2445.7570249520049</v>
      </c>
      <c r="BC17" s="4">
        <f t="shared" si="10"/>
        <v>2618.2775239923112</v>
      </c>
      <c r="BD17" s="4">
        <f t="shared" si="10"/>
        <v>2632.2768714011404</v>
      </c>
      <c r="BE17" s="4">
        <f t="shared" si="10"/>
        <v>2676.7758541266676</v>
      </c>
      <c r="BF17" s="4">
        <f t="shared" si="10"/>
        <v>2685.6401343569942</v>
      </c>
      <c r="BG17" s="4">
        <f t="shared" si="10"/>
        <v>2762.1481957773394</v>
      </c>
      <c r="BH17" s="4">
        <f t="shared" si="10"/>
        <v>3656.626583493266</v>
      </c>
      <c r="BI17" s="4">
        <f t="shared" si="10"/>
        <v>4211.6577927063163</v>
      </c>
      <c r="BJ17" s="4">
        <f t="shared" si="10"/>
        <v>4583.4248176583296</v>
      </c>
      <c r="BK17" s="4">
        <f t="shared" si="10"/>
        <v>5353.448119001896</v>
      </c>
      <c r="BL17" s="4">
        <f t="shared" si="10"/>
        <v>7689.222955854093</v>
      </c>
      <c r="BM17" s="4">
        <f t="shared" si="10"/>
        <v>8168.6488099807711</v>
      </c>
      <c r="BN17" s="4">
        <f t="shared" si="10"/>
        <v>8835.1272552782721</v>
      </c>
      <c r="BO17" s="4">
        <f t="shared" ref="BO17:CR17" si="11">+BO9*1.47984644913627</f>
        <v>9383.2623800383462</v>
      </c>
      <c r="BP17" s="4">
        <f t="shared" si="11"/>
        <v>9627.2594625719357</v>
      </c>
      <c r="BQ17" s="4">
        <f t="shared" si="11"/>
        <v>9628.576525911667</v>
      </c>
      <c r="BR17" s="4">
        <f t="shared" si="11"/>
        <v>9644.2924952014946</v>
      </c>
      <c r="BS17" s="4">
        <f t="shared" si="11"/>
        <v>9839.3510556621441</v>
      </c>
      <c r="BT17" s="4">
        <f t="shared" si="11"/>
        <v>10170.229923224524</v>
      </c>
      <c r="BU17" s="4">
        <f t="shared" si="11"/>
        <v>10341.67013435696</v>
      </c>
      <c r="BV17" s="4">
        <f t="shared" si="11"/>
        <v>10640.347543186133</v>
      </c>
      <c r="BW17" s="4">
        <f t="shared" si="11"/>
        <v>11133.965124760027</v>
      </c>
      <c r="BX17" s="4">
        <f t="shared" si="11"/>
        <v>13187.99199616117</v>
      </c>
      <c r="BY17" s="4">
        <f t="shared" si="11"/>
        <v>13544.886564299364</v>
      </c>
      <c r="BZ17" s="4">
        <f t="shared" si="11"/>
        <v>14880.891938579591</v>
      </c>
      <c r="CA17" s="4">
        <f t="shared" si="11"/>
        <v>15577.944011516247</v>
      </c>
      <c r="CB17" s="4">
        <f t="shared" si="11"/>
        <v>15925.130786948108</v>
      </c>
      <c r="CC17" s="4">
        <f t="shared" si="11"/>
        <v>16236.327696736973</v>
      </c>
      <c r="CD17" s="4">
        <f t="shared" si="11"/>
        <v>16238.873032629488</v>
      </c>
      <c r="CE17" s="4">
        <f t="shared" si="11"/>
        <v>16251.052168905879</v>
      </c>
      <c r="CF17" s="4">
        <f t="shared" si="11"/>
        <v>16285.014644913557</v>
      </c>
      <c r="CG17" s="4">
        <f t="shared" si="11"/>
        <v>16560.280882917396</v>
      </c>
      <c r="CH17" s="4">
        <f t="shared" si="11"/>
        <v>17426.005854126601</v>
      </c>
      <c r="CI17" s="4">
        <f t="shared" si="11"/>
        <v>19688.987044145786</v>
      </c>
      <c r="CJ17" s="4">
        <f t="shared" si="11"/>
        <v>22337.246257197599</v>
      </c>
      <c r="CK17" s="4">
        <f t="shared" si="11"/>
        <v>23591.712092130416</v>
      </c>
      <c r="CL17" s="4">
        <f t="shared" si="11"/>
        <v>24938.934702495095</v>
      </c>
      <c r="CM17" s="4">
        <f t="shared" si="11"/>
        <v>26318.758330134242</v>
      </c>
      <c r="CN17" s="4">
        <f t="shared" si="11"/>
        <v>25916.402879078585</v>
      </c>
      <c r="CO17" s="4">
        <f t="shared" si="11"/>
        <v>25508.586794625608</v>
      </c>
      <c r="CP17" s="4">
        <f t="shared" si="11"/>
        <v>25052.794088291637</v>
      </c>
      <c r="CQ17" s="4">
        <f t="shared" si="11"/>
        <v>24725.614836852099</v>
      </c>
      <c r="CR17" s="4">
        <f t="shared" si="11"/>
        <v>24767.790460652483</v>
      </c>
    </row>
    <row r="18" spans="1:96">
      <c r="A18" t="s">
        <v>85</v>
      </c>
      <c r="B18" s="4">
        <v>42.44</v>
      </c>
      <c r="C18" s="4">
        <v>32.479999999999997</v>
      </c>
      <c r="D18" s="4">
        <v>34.619999999999997</v>
      </c>
      <c r="E18" s="4">
        <v>33.409999999999997</v>
      </c>
      <c r="F18" s="4">
        <v>45.39</v>
      </c>
      <c r="G18" s="4">
        <v>59.6</v>
      </c>
      <c r="H18" s="4">
        <v>46.75</v>
      </c>
      <c r="I18" s="4">
        <v>45.39</v>
      </c>
      <c r="J18" s="4">
        <v>53.06</v>
      </c>
      <c r="K18" s="5">
        <v>50.11</v>
      </c>
      <c r="L18" s="5">
        <v>49.27</v>
      </c>
      <c r="M18" s="5">
        <v>49.66</v>
      </c>
      <c r="N18" s="5">
        <v>48.44</v>
      </c>
      <c r="O18" s="5">
        <v>66.349999999999994</v>
      </c>
      <c r="P18" s="5">
        <v>54.07</v>
      </c>
      <c r="Q18" s="5">
        <v>46.99</v>
      </c>
      <c r="R18" s="5">
        <v>52.95</v>
      </c>
      <c r="S18" s="6">
        <v>77.14</v>
      </c>
      <c r="T18" s="7">
        <v>82.85</v>
      </c>
      <c r="U18" s="7">
        <v>96.52</v>
      </c>
      <c r="V18" s="7">
        <v>107.22</v>
      </c>
      <c r="W18" s="7">
        <v>74.040000000000006</v>
      </c>
      <c r="X18" s="7">
        <v>75.44</v>
      </c>
      <c r="Y18" s="7">
        <v>114.07</v>
      </c>
      <c r="Z18" s="7">
        <v>174</v>
      </c>
      <c r="AA18" s="7">
        <v>138.38</v>
      </c>
      <c r="AB18" s="7">
        <v>53.77</v>
      </c>
      <c r="AC18" s="7">
        <v>51.75</v>
      </c>
      <c r="AD18" s="8">
        <v>70.81</v>
      </c>
      <c r="AE18" s="8">
        <v>96.86</v>
      </c>
      <c r="AF18" s="8">
        <v>85.09</v>
      </c>
      <c r="AG18" s="8">
        <v>116.75</v>
      </c>
      <c r="AH18" s="8">
        <v>106.9</v>
      </c>
      <c r="AI18" s="8">
        <v>161.55000000000001</v>
      </c>
      <c r="AJ18" s="8">
        <v>142.63999999999999</v>
      </c>
      <c r="AK18" s="8">
        <v>172.2</v>
      </c>
      <c r="AL18" s="8">
        <v>209.56</v>
      </c>
      <c r="AM18" s="8">
        <v>139.19</v>
      </c>
      <c r="AN18" s="8">
        <v>113.26</v>
      </c>
      <c r="AO18" s="8">
        <v>206.33</v>
      </c>
      <c r="AP18" s="8">
        <v>290.45</v>
      </c>
      <c r="AQ18" s="8">
        <v>258.72000000000003</v>
      </c>
      <c r="AR18" s="8">
        <v>192.78</v>
      </c>
      <c r="AS18" s="8">
        <v>180.83</v>
      </c>
      <c r="AT18" s="8">
        <v>217.73</v>
      </c>
      <c r="AU18" s="8">
        <v>175.3</v>
      </c>
      <c r="AV18" s="8">
        <v>209.39</v>
      </c>
      <c r="AW18" s="8">
        <v>306.69</v>
      </c>
      <c r="AX18" s="8">
        <v>251.55</v>
      </c>
      <c r="AY18" s="8">
        <v>215.5</v>
      </c>
      <c r="AZ18" s="8">
        <v>231.77</v>
      </c>
      <c r="BA18" s="8">
        <v>381.92</v>
      </c>
      <c r="BB18" s="8">
        <v>310.64</v>
      </c>
      <c r="BC18" s="8">
        <v>426.62</v>
      </c>
      <c r="BD18" s="8">
        <v>697</v>
      </c>
      <c r="BE18" s="8">
        <v>964.66</v>
      </c>
      <c r="BF18" s="8">
        <v>710.44</v>
      </c>
      <c r="BG18" s="8">
        <v>538.54999999999995</v>
      </c>
      <c r="BH18" s="8">
        <v>709.89</v>
      </c>
      <c r="BI18" s="8">
        <v>702.43</v>
      </c>
      <c r="BJ18" s="8">
        <v>874.29</v>
      </c>
      <c r="BK18" s="8">
        <v>1187.8399999999999</v>
      </c>
      <c r="BL18" s="8">
        <v>896.42</v>
      </c>
      <c r="BM18" s="8">
        <v>745.25</v>
      </c>
      <c r="BN18" s="8">
        <v>804.33</v>
      </c>
      <c r="BO18" s="8">
        <v>1257.3</v>
      </c>
      <c r="BP18" s="8">
        <v>2171.36</v>
      </c>
      <c r="BQ18" s="8">
        <v>3750.92</v>
      </c>
      <c r="BR18" s="8">
        <v>3458.52</v>
      </c>
      <c r="BS18" s="8">
        <v>3640.04</v>
      </c>
      <c r="BT18" s="8">
        <v>2844.48</v>
      </c>
      <c r="BU18" s="8">
        <v>3076.63</v>
      </c>
      <c r="BV18" s="8">
        <v>2953.78</v>
      </c>
      <c r="BW18" s="8">
        <v>2018.04</v>
      </c>
      <c r="BX18" s="8">
        <v>1261.57</v>
      </c>
      <c r="BY18" s="8">
        <v>1554.1</v>
      </c>
      <c r="BZ18" s="8">
        <v>1268.6500000000001</v>
      </c>
      <c r="CA18" s="8">
        <v>2608.11</v>
      </c>
      <c r="CB18" s="8">
        <v>3029.36</v>
      </c>
      <c r="CC18" s="8">
        <v>2758.44</v>
      </c>
      <c r="CD18" s="8">
        <v>2174.02</v>
      </c>
      <c r="CE18" s="8">
        <v>2175.9299999999998</v>
      </c>
      <c r="CF18" s="8">
        <v>2529.0100000000002</v>
      </c>
      <c r="CG18" s="8">
        <v>3310.32</v>
      </c>
      <c r="CH18" s="8">
        <v>2998.37</v>
      </c>
      <c r="CI18" s="8">
        <v>2202.7800000000002</v>
      </c>
      <c r="CJ18" s="8">
        <v>1460</v>
      </c>
      <c r="CK18" s="8">
        <v>2812.21</v>
      </c>
      <c r="CL18" s="8">
        <v>2186.85</v>
      </c>
      <c r="CM18" s="8">
        <v>2040.75</v>
      </c>
      <c r="CN18" s="8">
        <v>1704.85</v>
      </c>
      <c r="CO18" s="8">
        <v>2775.52</v>
      </c>
      <c r="CP18" s="8">
        <v>3400.05</v>
      </c>
      <c r="CQ18" s="8">
        <v>3649.65</v>
      </c>
      <c r="CR18" s="8">
        <v>3011.77</v>
      </c>
    </row>
    <row r="19" spans="1:96">
      <c r="A19" t="s">
        <v>86</v>
      </c>
      <c r="B19" s="4">
        <v>96.65217391304347</v>
      </c>
      <c r="C19" s="4">
        <v>97.478260869565219</v>
      </c>
      <c r="D19" s="4">
        <v>100.4782608695652</v>
      </c>
      <c r="E19" s="4">
        <v>107.08695652173913</v>
      </c>
      <c r="F19" s="4">
        <v>108.69565217391303</v>
      </c>
      <c r="G19" s="4">
        <v>110.8695652173913</v>
      </c>
      <c r="H19" s="4">
        <v>115.69565217391303</v>
      </c>
      <c r="I19" s="4">
        <v>119.04347826086956</v>
      </c>
      <c r="J19" s="4">
        <v>124.82608695652173</v>
      </c>
      <c r="K19" s="5">
        <v>129.04347826086956</v>
      </c>
      <c r="L19" s="5">
        <v>138.13043478260869</v>
      </c>
      <c r="M19" s="5">
        <v>148.43478260869566</v>
      </c>
      <c r="N19" s="5">
        <v>175.86956521739131</v>
      </c>
      <c r="O19" s="5">
        <v>187.39130434782609</v>
      </c>
      <c r="P19" s="5">
        <v>197.17391304347825</v>
      </c>
      <c r="Q19" s="5">
        <v>215.56521739130434</v>
      </c>
      <c r="R19" s="5">
        <v>226.86956521739128</v>
      </c>
      <c r="S19" s="6">
        <v>230.56521739130434</v>
      </c>
      <c r="T19" s="7">
        <v>233.78260869565219</v>
      </c>
      <c r="U19" s="7">
        <v>233.34782608695653</v>
      </c>
      <c r="V19" s="7">
        <v>236.65217391304347</v>
      </c>
      <c r="W19" s="7">
        <v>248.17391304347825</v>
      </c>
      <c r="X19" s="7">
        <v>277.21739130434781</v>
      </c>
      <c r="Y19" s="7">
        <v>313.30434782608694</v>
      </c>
      <c r="Z19" s="7">
        <v>342.60869565217388</v>
      </c>
      <c r="AA19" s="7">
        <v>354.13043478260869</v>
      </c>
      <c r="AB19" s="7">
        <v>357.47826086956519</v>
      </c>
      <c r="AC19" s="7">
        <v>348.78260869565213</v>
      </c>
      <c r="AD19" s="8">
        <v>367.695652173913</v>
      </c>
      <c r="AE19" s="8">
        <v>351.17391304347825</v>
      </c>
      <c r="AF19" s="8">
        <v>337.26086956521732</v>
      </c>
      <c r="AG19" s="8">
        <v>340.73913043478262</v>
      </c>
      <c r="AH19" s="8">
        <v>336.17391304347819</v>
      </c>
      <c r="AI19" s="8">
        <v>353.91304347826087</v>
      </c>
      <c r="AJ19" s="8">
        <v>353.21739130434781</v>
      </c>
      <c r="AK19" s="8">
        <v>376.43478260869563</v>
      </c>
      <c r="AL19" s="8">
        <v>377.04347826086956</v>
      </c>
      <c r="AM19" s="8">
        <v>374.56521739130437</v>
      </c>
      <c r="AN19" s="8">
        <v>377.56521739130437</v>
      </c>
      <c r="AO19" s="8">
        <v>387.56521739130432</v>
      </c>
      <c r="AP19" s="8">
        <v>400.78260869565219</v>
      </c>
      <c r="AQ19" s="8">
        <v>415.30434782608694</v>
      </c>
      <c r="AR19" s="8">
        <v>429.04347826086956</v>
      </c>
      <c r="AS19" s="8">
        <v>438.82608695652175</v>
      </c>
      <c r="AT19" s="8">
        <v>467.04347826086956</v>
      </c>
      <c r="AU19" s="8">
        <v>492.91304347826087</v>
      </c>
      <c r="AV19" s="8">
        <v>516.26086956521738</v>
      </c>
      <c r="AW19" s="8">
        <v>524.78260869565213</v>
      </c>
      <c r="AX19" s="8">
        <v>540.17391304347825</v>
      </c>
      <c r="AY19" s="8">
        <v>551.43478260869563</v>
      </c>
      <c r="AZ19" s="8">
        <v>587.08695652173913</v>
      </c>
      <c r="BA19" s="8">
        <v>611.60869565217388</v>
      </c>
      <c r="BB19" s="8">
        <v>631</v>
      </c>
      <c r="BC19" s="8">
        <v>719.47826086956513</v>
      </c>
      <c r="BD19" s="8">
        <v>756.78260869565213</v>
      </c>
      <c r="BE19" s="8">
        <v>869.86956521739125</v>
      </c>
      <c r="BF19" s="8">
        <v>989.43478260869563</v>
      </c>
      <c r="BG19" s="8">
        <v>1037.608695652174</v>
      </c>
      <c r="BH19" s="8">
        <v>1113.1304347826085</v>
      </c>
      <c r="BI19" s="8">
        <v>1224.5652173913043</v>
      </c>
      <c r="BJ19" s="8">
        <v>1311.7391304347825</v>
      </c>
      <c r="BK19" s="8">
        <v>1650.8260869565217</v>
      </c>
      <c r="BL19" s="8">
        <v>2493.5217391304345</v>
      </c>
      <c r="BM19" s="8">
        <v>3581.652173913043</v>
      </c>
      <c r="BN19" s="8">
        <v>4197.826086956522</v>
      </c>
      <c r="BO19" s="8">
        <v>4306.434782608696</v>
      </c>
      <c r="BP19" s="8">
        <v>4069.1304347826085</v>
      </c>
      <c r="BQ19" s="8">
        <v>4241.5217391304341</v>
      </c>
      <c r="BR19" s="8">
        <v>4312.7391304347821</v>
      </c>
      <c r="BS19" s="8">
        <v>4386.4347826086951</v>
      </c>
      <c r="BT19" s="8">
        <v>4690.304347826087</v>
      </c>
      <c r="BU19" s="8">
        <v>4856.130434782609</v>
      </c>
      <c r="BV19" s="8">
        <v>4867.9130434782601</v>
      </c>
      <c r="BW19" s="8">
        <v>4855.565217391304</v>
      </c>
      <c r="BX19" s="8">
        <v>4863.608695652174</v>
      </c>
      <c r="BY19" s="8">
        <v>4947.2173913043471</v>
      </c>
      <c r="BZ19" s="8">
        <v>5027.5217391304341</v>
      </c>
      <c r="CA19" s="8">
        <v>5082.652173913043</v>
      </c>
      <c r="CB19" s="8">
        <v>5181.391304347826</v>
      </c>
      <c r="CC19" s="8">
        <v>5073.1304347826081</v>
      </c>
      <c r="CD19" s="8">
        <v>5168.565217391304</v>
      </c>
      <c r="CE19" s="8">
        <v>5011.739130434783</v>
      </c>
      <c r="CF19" s="8">
        <v>5163.5217391304341</v>
      </c>
      <c r="CG19" s="8">
        <v>5270.130434782609</v>
      </c>
      <c r="CH19" s="8">
        <v>5393.173913043478</v>
      </c>
      <c r="CI19" s="8">
        <v>5459.521739130435</v>
      </c>
      <c r="CJ19" s="8">
        <v>5588.739130434783</v>
      </c>
      <c r="CK19" s="8">
        <v>5736.869565217391</v>
      </c>
      <c r="CL19" s="8">
        <v>5628.6086956521731</v>
      </c>
      <c r="CM19" s="8">
        <v>5684.869565217391</v>
      </c>
      <c r="CN19" s="8">
        <v>5759.7391304347821</v>
      </c>
      <c r="CO19" s="8">
        <v>5953.260869565217</v>
      </c>
      <c r="CP19" s="8">
        <v>6095.130434782609</v>
      </c>
      <c r="CQ19" s="8">
        <v>6246.521739130435</v>
      </c>
      <c r="CR19" s="8">
        <v>6395.8260869565211</v>
      </c>
    </row>
    <row r="20" spans="1:96">
      <c r="A20" t="s">
        <v>87</v>
      </c>
      <c r="B20" s="4">
        <v>64.239999999999995</v>
      </c>
      <c r="C20" s="4">
        <v>55.04</v>
      </c>
      <c r="D20" s="4">
        <v>50.88</v>
      </c>
      <c r="E20" s="4">
        <v>58.32</v>
      </c>
      <c r="F20" s="4">
        <v>72.33</v>
      </c>
      <c r="G20" s="4">
        <v>63.16</v>
      </c>
      <c r="H20" s="4">
        <v>49.56</v>
      </c>
      <c r="I20" s="4">
        <v>44.78</v>
      </c>
      <c r="J20" s="4">
        <v>50.54</v>
      </c>
      <c r="K20" s="5">
        <v>97.22</v>
      </c>
      <c r="L20" s="5">
        <v>79.37</v>
      </c>
      <c r="M20" s="5">
        <v>64.180000000000007</v>
      </c>
      <c r="N20" s="5">
        <v>71.34</v>
      </c>
      <c r="O20" s="5">
        <v>78.260000000000005</v>
      </c>
      <c r="P20" s="5">
        <v>89.47</v>
      </c>
      <c r="Q20" s="5">
        <v>98.48</v>
      </c>
      <c r="R20" s="5">
        <v>107.42</v>
      </c>
      <c r="S20" s="6">
        <v>115.29</v>
      </c>
      <c r="T20" s="7">
        <v>117.4</v>
      </c>
      <c r="U20" s="7">
        <v>97.56</v>
      </c>
      <c r="V20" s="7">
        <v>98.1</v>
      </c>
      <c r="W20" s="7">
        <v>104.55</v>
      </c>
      <c r="X20" s="7">
        <v>104.94</v>
      </c>
      <c r="Y20" s="7">
        <v>106.74</v>
      </c>
      <c r="Z20" s="7">
        <v>99.66</v>
      </c>
      <c r="AA20" s="7">
        <v>98.34</v>
      </c>
      <c r="AB20" s="7">
        <v>113.08</v>
      </c>
      <c r="AC20" s="7">
        <v>128.66999999999999</v>
      </c>
      <c r="AD20" s="8">
        <v>147.88999999999999</v>
      </c>
      <c r="AE20" s="8">
        <v>172.89</v>
      </c>
      <c r="AF20" s="8">
        <v>203.92</v>
      </c>
      <c r="AG20" s="8">
        <v>168.23</v>
      </c>
      <c r="AH20" s="8">
        <v>156.24</v>
      </c>
      <c r="AI20" s="8">
        <v>145.06</v>
      </c>
      <c r="AJ20" s="8">
        <v>142.43</v>
      </c>
      <c r="AK20" s="8">
        <v>138.34</v>
      </c>
      <c r="AL20" s="8">
        <v>158.74</v>
      </c>
      <c r="AM20" s="8">
        <v>161.5</v>
      </c>
      <c r="AN20" s="8">
        <v>151.66999999999999</v>
      </c>
      <c r="AO20" s="8">
        <v>229.16</v>
      </c>
      <c r="AP20" s="8">
        <v>395.83</v>
      </c>
      <c r="AQ20" s="8">
        <v>286.60000000000002</v>
      </c>
      <c r="AR20" s="8">
        <v>266.11</v>
      </c>
      <c r="AS20" s="8">
        <v>254.79</v>
      </c>
      <c r="AT20" s="8">
        <v>351.13</v>
      </c>
      <c r="AU20" s="8">
        <v>493.37</v>
      </c>
      <c r="AV20" s="8">
        <v>404.16</v>
      </c>
      <c r="AW20" s="8">
        <v>255.37</v>
      </c>
      <c r="AX20" s="8">
        <v>242.77</v>
      </c>
      <c r="AY20" s="8">
        <v>333.89</v>
      </c>
      <c r="AZ20" s="8">
        <v>770.53</v>
      </c>
      <c r="BA20" s="8">
        <v>573.99</v>
      </c>
      <c r="BB20" s="8">
        <v>613.29</v>
      </c>
      <c r="BC20" s="8">
        <v>971.92</v>
      </c>
      <c r="BD20" s="8">
        <v>1058.69</v>
      </c>
      <c r="BE20" s="8">
        <v>626.47</v>
      </c>
      <c r="BF20" s="8">
        <v>591.96</v>
      </c>
      <c r="BG20" s="8">
        <v>655.21</v>
      </c>
      <c r="BH20" s="8">
        <v>658.61</v>
      </c>
      <c r="BI20" s="8">
        <v>571.6</v>
      </c>
      <c r="BJ20" s="8">
        <v>804.03</v>
      </c>
      <c r="BK20" s="8">
        <v>790.93</v>
      </c>
      <c r="BL20" s="8">
        <v>950.81</v>
      </c>
      <c r="BM20" s="8">
        <v>1419.74</v>
      </c>
      <c r="BN20" s="8">
        <v>2302.4</v>
      </c>
      <c r="BO20" s="8">
        <v>3838.62</v>
      </c>
      <c r="BP20" s="8">
        <v>2815.94</v>
      </c>
      <c r="BQ20" s="8">
        <v>3430.29</v>
      </c>
      <c r="BR20" s="8">
        <v>3523.89</v>
      </c>
      <c r="BS20" s="8">
        <v>4292.6899999999996</v>
      </c>
      <c r="BT20" s="8">
        <v>3746.02</v>
      </c>
      <c r="BU20" s="8">
        <v>2994.38</v>
      </c>
      <c r="BV20" s="8">
        <v>2539.15</v>
      </c>
      <c r="BW20" s="8">
        <v>2951.3</v>
      </c>
      <c r="BX20" s="8">
        <v>2913.7</v>
      </c>
      <c r="BY20" s="8">
        <v>2739.47</v>
      </c>
      <c r="BZ20" s="8">
        <v>3470.03</v>
      </c>
      <c r="CA20" s="8">
        <v>6008.35</v>
      </c>
      <c r="CB20" s="8">
        <v>4043.93</v>
      </c>
      <c r="CC20" s="8">
        <v>3020.43</v>
      </c>
      <c r="CD20" s="8">
        <v>3977.26</v>
      </c>
      <c r="CE20" s="8">
        <v>4574.6499999999996</v>
      </c>
      <c r="CF20" s="8">
        <v>3661.12</v>
      </c>
      <c r="CG20" s="8">
        <v>2940.98</v>
      </c>
      <c r="CH20" s="8">
        <v>2958.24</v>
      </c>
      <c r="CI20" s="8">
        <v>3258.34</v>
      </c>
      <c r="CJ20" s="8">
        <v>3291.96</v>
      </c>
      <c r="CK20" s="8">
        <v>3986.77</v>
      </c>
      <c r="CL20" s="8">
        <v>3736.14</v>
      </c>
      <c r="CM20" s="8">
        <v>3415.87</v>
      </c>
      <c r="CN20" s="8">
        <v>3812.73</v>
      </c>
      <c r="CO20" s="8">
        <v>4359.25</v>
      </c>
      <c r="CP20" s="8">
        <v>4560.16</v>
      </c>
      <c r="CQ20" s="8">
        <v>5057.45</v>
      </c>
      <c r="CR20" s="8">
        <v>4106.9399999999996</v>
      </c>
    </row>
    <row r="21" spans="1:96">
      <c r="A21" t="s">
        <v>88</v>
      </c>
      <c r="B21" s="4">
        <f>+B20*1.11904761904761</f>
        <v>71.887619047618458</v>
      </c>
      <c r="C21" s="4">
        <f t="shared" ref="C21:BN21" si="12">+C20*1.11904761904761</f>
        <v>61.592380952380452</v>
      </c>
      <c r="D21" s="4">
        <f t="shared" si="12"/>
        <v>56.937142857142398</v>
      </c>
      <c r="E21" s="4">
        <f t="shared" si="12"/>
        <v>65.262857142856618</v>
      </c>
      <c r="F21" s="4">
        <f t="shared" si="12"/>
        <v>80.940714285713625</v>
      </c>
      <c r="G21" s="4">
        <f t="shared" si="12"/>
        <v>70.67904761904704</v>
      </c>
      <c r="H21" s="4">
        <f t="shared" si="12"/>
        <v>55.459999999999553</v>
      </c>
      <c r="I21" s="4">
        <f t="shared" si="12"/>
        <v>50.110952380951979</v>
      </c>
      <c r="J21" s="4">
        <f t="shared" si="12"/>
        <v>56.55666666666621</v>
      </c>
      <c r="K21" s="4">
        <f t="shared" si="12"/>
        <v>108.79380952380863</v>
      </c>
      <c r="L21" s="4">
        <f t="shared" si="12"/>
        <v>88.81880952380881</v>
      </c>
      <c r="M21" s="4">
        <f t="shared" si="12"/>
        <v>71.820476190475617</v>
      </c>
      <c r="N21" s="4">
        <f t="shared" si="12"/>
        <v>79.832857142856497</v>
      </c>
      <c r="O21" s="4">
        <f t="shared" si="12"/>
        <v>87.576666666665957</v>
      </c>
      <c r="P21" s="4">
        <f t="shared" si="12"/>
        <v>100.12119047618967</v>
      </c>
      <c r="Q21" s="4">
        <f t="shared" si="12"/>
        <v>110.20380952380863</v>
      </c>
      <c r="R21" s="4">
        <f t="shared" si="12"/>
        <v>120.20809523809426</v>
      </c>
      <c r="S21" s="4">
        <f t="shared" si="12"/>
        <v>129.01499999999896</v>
      </c>
      <c r="T21" s="4">
        <f t="shared" si="12"/>
        <v>131.37619047618941</v>
      </c>
      <c r="U21" s="4">
        <f t="shared" si="12"/>
        <v>109.17428571428484</v>
      </c>
      <c r="V21" s="4">
        <f t="shared" si="12"/>
        <v>109.77857142857053</v>
      </c>
      <c r="W21" s="4">
        <f t="shared" si="12"/>
        <v>116.99642857142761</v>
      </c>
      <c r="X21" s="4">
        <f t="shared" si="12"/>
        <v>117.43285714285619</v>
      </c>
      <c r="Y21" s="4">
        <f t="shared" si="12"/>
        <v>119.44714285714188</v>
      </c>
      <c r="Z21" s="4">
        <f t="shared" si="12"/>
        <v>111.5242857142848</v>
      </c>
      <c r="AA21" s="4">
        <f t="shared" si="12"/>
        <v>110.04714285714196</v>
      </c>
      <c r="AB21" s="4">
        <f t="shared" si="12"/>
        <v>126.54190476190374</v>
      </c>
      <c r="AC21" s="4">
        <f t="shared" si="12"/>
        <v>143.98785714285597</v>
      </c>
      <c r="AD21" s="4">
        <f t="shared" si="12"/>
        <v>165.49595238095102</v>
      </c>
      <c r="AE21" s="4">
        <f t="shared" si="12"/>
        <v>193.47214285714128</v>
      </c>
      <c r="AF21" s="4">
        <f t="shared" si="12"/>
        <v>228.1961904761886</v>
      </c>
      <c r="AG21" s="4">
        <f t="shared" si="12"/>
        <v>188.25738095237941</v>
      </c>
      <c r="AH21" s="4">
        <f t="shared" si="12"/>
        <v>174.83999999999858</v>
      </c>
      <c r="AI21" s="4">
        <f t="shared" si="12"/>
        <v>162.32904761904629</v>
      </c>
      <c r="AJ21" s="4">
        <f t="shared" si="12"/>
        <v>159.3859523809511</v>
      </c>
      <c r="AK21" s="4">
        <f t="shared" si="12"/>
        <v>154.80904761904637</v>
      </c>
      <c r="AL21" s="4">
        <f t="shared" si="12"/>
        <v>177.63761904761762</v>
      </c>
      <c r="AM21" s="4">
        <f t="shared" si="12"/>
        <v>180.726190476189</v>
      </c>
      <c r="AN21" s="4">
        <f t="shared" si="12"/>
        <v>169.72595238095099</v>
      </c>
      <c r="AO21" s="4">
        <f t="shared" si="12"/>
        <v>256.44095238095031</v>
      </c>
      <c r="AP21" s="4">
        <f t="shared" si="12"/>
        <v>442.95261904761543</v>
      </c>
      <c r="AQ21" s="4">
        <f t="shared" si="12"/>
        <v>320.71904761904506</v>
      </c>
      <c r="AR21" s="4">
        <f t="shared" si="12"/>
        <v>297.78976190475953</v>
      </c>
      <c r="AS21" s="4">
        <f t="shared" si="12"/>
        <v>285.12214285714055</v>
      </c>
      <c r="AT21" s="4">
        <f t="shared" si="12"/>
        <v>392.93119047618728</v>
      </c>
      <c r="AU21" s="4">
        <f t="shared" si="12"/>
        <v>552.10452380951938</v>
      </c>
      <c r="AV21" s="4">
        <f t="shared" si="12"/>
        <v>452.27428571428209</v>
      </c>
      <c r="AW21" s="4">
        <f t="shared" si="12"/>
        <v>285.77119047618817</v>
      </c>
      <c r="AX21" s="4">
        <f t="shared" si="12"/>
        <v>271.67119047618826</v>
      </c>
      <c r="AY21" s="4">
        <f t="shared" si="12"/>
        <v>373.63880952380646</v>
      </c>
      <c r="AZ21" s="4">
        <f t="shared" si="12"/>
        <v>862.2597619047549</v>
      </c>
      <c r="BA21" s="4">
        <f t="shared" si="12"/>
        <v>642.32214285713769</v>
      </c>
      <c r="BB21" s="4">
        <f t="shared" si="12"/>
        <v>686.30071428570864</v>
      </c>
      <c r="BC21" s="4">
        <f t="shared" si="12"/>
        <v>1087.6247619047531</v>
      </c>
      <c r="BD21" s="4">
        <f t="shared" si="12"/>
        <v>1184.7245238095143</v>
      </c>
      <c r="BE21" s="4">
        <f t="shared" si="12"/>
        <v>701.04976190475622</v>
      </c>
      <c r="BF21" s="4">
        <f t="shared" si="12"/>
        <v>662.43142857142323</v>
      </c>
      <c r="BG21" s="4">
        <f t="shared" si="12"/>
        <v>733.21119047618458</v>
      </c>
      <c r="BH21" s="4">
        <f t="shared" si="12"/>
        <v>737.01595238094637</v>
      </c>
      <c r="BI21" s="4">
        <f t="shared" si="12"/>
        <v>639.64761904761383</v>
      </c>
      <c r="BJ21" s="4">
        <f t="shared" si="12"/>
        <v>899.74785714284985</v>
      </c>
      <c r="BK21" s="4">
        <f t="shared" si="12"/>
        <v>885.08833333332609</v>
      </c>
      <c r="BL21" s="4">
        <f t="shared" si="12"/>
        <v>1064.0016666666579</v>
      </c>
      <c r="BM21" s="4">
        <f t="shared" si="12"/>
        <v>1588.7566666666537</v>
      </c>
      <c r="BN21" s="4">
        <f t="shared" si="12"/>
        <v>2576.4952380952172</v>
      </c>
      <c r="BO21" s="4">
        <f t="shared" ref="BO21:CR21" si="13">+BO20*1.11904761904761</f>
        <v>4295.5985714285362</v>
      </c>
      <c r="BP21" s="4">
        <f t="shared" si="13"/>
        <v>3151.1709523809268</v>
      </c>
      <c r="BQ21" s="4">
        <f t="shared" si="13"/>
        <v>3838.6578571428258</v>
      </c>
      <c r="BR21" s="4">
        <f t="shared" si="13"/>
        <v>3943.4007142856822</v>
      </c>
      <c r="BS21" s="4">
        <f t="shared" si="13"/>
        <v>4803.7245238094847</v>
      </c>
      <c r="BT21" s="4">
        <f t="shared" si="13"/>
        <v>4191.9747619047275</v>
      </c>
      <c r="BU21" s="4">
        <f t="shared" si="13"/>
        <v>3350.8538095237823</v>
      </c>
      <c r="BV21" s="4">
        <f t="shared" si="13"/>
        <v>2841.4297619047388</v>
      </c>
      <c r="BW21" s="4">
        <f t="shared" si="13"/>
        <v>3302.6452380952114</v>
      </c>
      <c r="BX21" s="4">
        <f t="shared" si="13"/>
        <v>3260.5690476190211</v>
      </c>
      <c r="BY21" s="4">
        <f t="shared" si="13"/>
        <v>3065.5973809523557</v>
      </c>
      <c r="BZ21" s="4">
        <f t="shared" si="13"/>
        <v>3883.1288095237783</v>
      </c>
      <c r="CA21" s="4">
        <f t="shared" si="13"/>
        <v>6723.6297619047082</v>
      </c>
      <c r="CB21" s="4">
        <f t="shared" si="13"/>
        <v>4525.3502380952013</v>
      </c>
      <c r="CC21" s="4">
        <f t="shared" si="13"/>
        <v>3380.0049999999724</v>
      </c>
      <c r="CD21" s="4">
        <f t="shared" si="13"/>
        <v>4450.7433333332974</v>
      </c>
      <c r="CE21" s="4">
        <f t="shared" si="13"/>
        <v>5119.2511904761486</v>
      </c>
      <c r="CF21" s="4">
        <f t="shared" si="13"/>
        <v>4096.9676190475857</v>
      </c>
      <c r="CG21" s="4">
        <f t="shared" si="13"/>
        <v>3291.09666666664</v>
      </c>
      <c r="CH21" s="4">
        <f t="shared" si="13"/>
        <v>3310.4114285714013</v>
      </c>
      <c r="CI21" s="4">
        <f t="shared" si="13"/>
        <v>3646.2376190475898</v>
      </c>
      <c r="CJ21" s="4">
        <f t="shared" si="13"/>
        <v>3683.8599999999701</v>
      </c>
      <c r="CK21" s="4">
        <f t="shared" si="13"/>
        <v>4461.3854761904404</v>
      </c>
      <c r="CL21" s="4">
        <f t="shared" si="13"/>
        <v>4180.9185714285377</v>
      </c>
      <c r="CM21" s="4">
        <f t="shared" si="13"/>
        <v>3822.5211904761595</v>
      </c>
      <c r="CN21" s="4">
        <f t="shared" si="13"/>
        <v>4266.6264285713942</v>
      </c>
      <c r="CO21" s="4">
        <f t="shared" si="13"/>
        <v>4878.2083333332939</v>
      </c>
      <c r="CP21" s="4">
        <f t="shared" si="13"/>
        <v>5103.0361904761485</v>
      </c>
      <c r="CQ21" s="4">
        <f t="shared" si="13"/>
        <v>5659.5273809523351</v>
      </c>
      <c r="CR21" s="4">
        <f t="shared" si="13"/>
        <v>4595.8614285713911</v>
      </c>
    </row>
    <row r="22" spans="1:96">
      <c r="A22" t="s">
        <v>89</v>
      </c>
      <c r="B22" s="4">
        <f>+B24*5.48571428571428</f>
        <v>120.35657142857131</v>
      </c>
      <c r="C22" s="4">
        <f t="shared" ref="C22:BN22" si="14">+C24*5.48571428571428</f>
        <v>178.45028571428554</v>
      </c>
      <c r="D22" s="4">
        <f t="shared" si="14"/>
        <v>185.3074285714284</v>
      </c>
      <c r="E22" s="4">
        <f t="shared" si="14"/>
        <v>188.26971428571412</v>
      </c>
      <c r="F22" s="4">
        <f t="shared" si="14"/>
        <v>188.54399999999981</v>
      </c>
      <c r="G22" s="4">
        <f t="shared" si="14"/>
        <v>163.85828571428556</v>
      </c>
      <c r="H22" s="4">
        <f t="shared" si="14"/>
        <v>151.40571428571414</v>
      </c>
      <c r="I22" s="4">
        <f t="shared" si="14"/>
        <v>149.97942857142843</v>
      </c>
      <c r="J22" s="4">
        <f t="shared" si="14"/>
        <v>148.0045714285713</v>
      </c>
      <c r="K22" s="4">
        <f t="shared" si="14"/>
        <v>148.60799999999986</v>
      </c>
      <c r="L22" s="4">
        <f t="shared" si="14"/>
        <v>154.25828571428556</v>
      </c>
      <c r="M22" s="4">
        <f t="shared" si="14"/>
        <v>216.35657142857121</v>
      </c>
      <c r="N22" s="4">
        <f t="shared" si="14"/>
        <v>263.69828571428548</v>
      </c>
      <c r="O22" s="4">
        <f t="shared" si="14"/>
        <v>276.47999999999973</v>
      </c>
      <c r="P22" s="4">
        <f t="shared" si="14"/>
        <v>281.30742857142832</v>
      </c>
      <c r="Q22" s="4">
        <f t="shared" si="14"/>
        <v>243.51085714285691</v>
      </c>
      <c r="R22" s="4">
        <f t="shared" si="14"/>
        <v>208.07314285714264</v>
      </c>
      <c r="S22" s="4">
        <f t="shared" si="14"/>
        <v>192.98742857142838</v>
      </c>
      <c r="T22" s="4">
        <f t="shared" si="14"/>
        <v>211.41942857142837</v>
      </c>
      <c r="U22" s="4">
        <f t="shared" si="14"/>
        <v>200.17371428571411</v>
      </c>
      <c r="V22" s="4">
        <f t="shared" si="14"/>
        <v>210.21257142857124</v>
      </c>
      <c r="W22" s="4">
        <f t="shared" si="14"/>
        <v>200.17371428571411</v>
      </c>
      <c r="X22" s="4">
        <f t="shared" si="14"/>
        <v>195.62057142857122</v>
      </c>
      <c r="Y22" s="4">
        <f t="shared" si="14"/>
        <v>220.4159999999998</v>
      </c>
      <c r="Z22" s="4">
        <f t="shared" si="14"/>
        <v>235.06285714285693</v>
      </c>
      <c r="AA22" s="4">
        <f t="shared" si="14"/>
        <v>332.65371428571399</v>
      </c>
      <c r="AB22" s="4">
        <f t="shared" si="14"/>
        <v>547.80342857142807</v>
      </c>
      <c r="AC22" s="4">
        <f t="shared" si="14"/>
        <v>425.6914285714281</v>
      </c>
      <c r="AD22" s="4">
        <f t="shared" si="14"/>
        <v>358.21714285714251</v>
      </c>
      <c r="AE22" s="4">
        <f t="shared" si="14"/>
        <v>320.1462857142854</v>
      </c>
      <c r="AF22" s="4">
        <f t="shared" si="14"/>
        <v>320.91428571428543</v>
      </c>
      <c r="AG22" s="4">
        <f t="shared" si="14"/>
        <v>308.07771428571397</v>
      </c>
      <c r="AH22" s="4">
        <f t="shared" si="14"/>
        <v>299.5199999999997</v>
      </c>
      <c r="AI22" s="4">
        <f t="shared" si="14"/>
        <v>305.71885714285685</v>
      </c>
      <c r="AJ22" s="4">
        <f t="shared" si="14"/>
        <v>312.57599999999968</v>
      </c>
      <c r="AK22" s="4">
        <f t="shared" si="14"/>
        <v>406.38171428571388</v>
      </c>
      <c r="AL22" s="4">
        <f t="shared" si="14"/>
        <v>545.17028571428511</v>
      </c>
      <c r="AM22" s="4">
        <f t="shared" si="14"/>
        <v>546.26742857142801</v>
      </c>
      <c r="AN22" s="4">
        <f t="shared" si="14"/>
        <v>515.27314285714237</v>
      </c>
      <c r="AO22" s="4">
        <f t="shared" si="14"/>
        <v>491.51999999999947</v>
      </c>
      <c r="AP22" s="4">
        <f t="shared" si="14"/>
        <v>475.61142857142812</v>
      </c>
      <c r="AQ22" s="4">
        <f t="shared" si="14"/>
        <v>439.57028571428526</v>
      </c>
      <c r="AR22" s="4">
        <f t="shared" si="14"/>
        <v>450.65142857142814</v>
      </c>
      <c r="AS22" s="4">
        <f t="shared" si="14"/>
        <v>445.33028571428531</v>
      </c>
      <c r="AT22" s="4">
        <f t="shared" si="14"/>
        <v>478.02514285714238</v>
      </c>
      <c r="AU22" s="4">
        <f t="shared" si="14"/>
        <v>565.85142857142807</v>
      </c>
      <c r="AV22" s="4">
        <f t="shared" si="14"/>
        <v>646.38171428571366</v>
      </c>
      <c r="AW22" s="4">
        <f t="shared" si="14"/>
        <v>750.50057142857077</v>
      </c>
      <c r="AX22" s="4">
        <f t="shared" si="14"/>
        <v>1082.1119999999989</v>
      </c>
      <c r="AY22" s="4">
        <f t="shared" si="14"/>
        <v>1245.6411428571416</v>
      </c>
      <c r="AZ22" s="4">
        <f t="shared" si="14"/>
        <v>1433.25257142857</v>
      </c>
      <c r="BA22" s="4">
        <f t="shared" si="14"/>
        <v>1468.8548571428557</v>
      </c>
      <c r="BB22" s="4">
        <f t="shared" si="14"/>
        <v>1466.4959999999985</v>
      </c>
      <c r="BC22" s="4">
        <f t="shared" si="14"/>
        <v>1378.1759999999986</v>
      </c>
      <c r="BD22" s="4">
        <f t="shared" si="14"/>
        <v>1308.5074285714272</v>
      </c>
      <c r="BE22" s="4">
        <f t="shared" si="14"/>
        <v>1300.0594285714274</v>
      </c>
      <c r="BF22" s="4">
        <f t="shared" si="14"/>
        <v>1289.6914285714272</v>
      </c>
      <c r="BG22" s="4">
        <f t="shared" si="14"/>
        <v>1345.261714285713</v>
      </c>
      <c r="BH22" s="4">
        <f t="shared" si="14"/>
        <v>1406.6468571428559</v>
      </c>
      <c r="BI22" s="4">
        <f t="shared" si="14"/>
        <v>1438.3542857142843</v>
      </c>
      <c r="BJ22" s="4">
        <f t="shared" si="14"/>
        <v>1468.19657142857</v>
      </c>
      <c r="BK22" s="4">
        <f t="shared" si="14"/>
        <v>1533.5314285714271</v>
      </c>
      <c r="BL22" s="4">
        <f t="shared" si="14"/>
        <v>2087.9725714285696</v>
      </c>
      <c r="BM22" s="4">
        <f t="shared" si="14"/>
        <v>2835.9497142857117</v>
      </c>
      <c r="BN22" s="4">
        <f t="shared" si="14"/>
        <v>3035.5748571428544</v>
      </c>
      <c r="BO22" s="4">
        <f t="shared" ref="BO22:CR22" si="15">+BO24*5.48571428571428</f>
        <v>2924.5439999999971</v>
      </c>
      <c r="BP22" s="4">
        <f t="shared" si="15"/>
        <v>2937.3805714285686</v>
      </c>
      <c r="BQ22" s="4">
        <f t="shared" si="15"/>
        <v>3038.4274285714255</v>
      </c>
      <c r="BR22" s="4">
        <f t="shared" si="15"/>
        <v>3267.1268571428541</v>
      </c>
      <c r="BS22" s="4">
        <f t="shared" si="15"/>
        <v>3342.0617142857113</v>
      </c>
      <c r="BT22" s="4">
        <f t="shared" si="15"/>
        <v>3642.8434285714247</v>
      </c>
      <c r="BU22" s="4">
        <f t="shared" si="15"/>
        <v>4657.7554285714241</v>
      </c>
      <c r="BV22" s="4">
        <f t="shared" si="15"/>
        <v>6355.9131428571372</v>
      </c>
      <c r="BW22" s="4">
        <f t="shared" si="15"/>
        <v>7691.6297142857065</v>
      </c>
      <c r="BX22" s="4">
        <f t="shared" si="15"/>
        <v>8298.5691428571354</v>
      </c>
      <c r="BY22" s="4">
        <f t="shared" si="15"/>
        <v>7423.103999999993</v>
      </c>
      <c r="BZ22" s="4">
        <f t="shared" si="15"/>
        <v>6496.4571428571362</v>
      </c>
      <c r="CA22" s="4">
        <f t="shared" si="15"/>
        <v>5662.5737142857088</v>
      </c>
      <c r="CB22" s="4">
        <f t="shared" si="15"/>
        <v>5211.1542857142813</v>
      </c>
      <c r="CC22" s="4">
        <f t="shared" si="15"/>
        <v>4990.9028571428516</v>
      </c>
      <c r="CD22" s="4">
        <f t="shared" si="15"/>
        <v>4676.4617142857096</v>
      </c>
      <c r="CE22" s="4">
        <f t="shared" si="15"/>
        <v>4690.5599999999949</v>
      </c>
      <c r="CF22" s="4">
        <f t="shared" si="15"/>
        <v>4721.4994285714247</v>
      </c>
      <c r="CG22" s="4">
        <f t="shared" si="15"/>
        <v>5058.1028571428524</v>
      </c>
      <c r="CH22" s="4">
        <f t="shared" si="15"/>
        <v>5437.8788571428522</v>
      </c>
      <c r="CI22" s="4">
        <f t="shared" si="15"/>
        <v>6241.4262857142794</v>
      </c>
      <c r="CJ22" s="4">
        <f t="shared" si="15"/>
        <v>6828.5074285714218</v>
      </c>
      <c r="CK22" s="4">
        <f t="shared" si="15"/>
        <v>7164.2879999999932</v>
      </c>
      <c r="CL22" s="4">
        <f t="shared" si="15"/>
        <v>6937.0148571428499</v>
      </c>
      <c r="CM22" s="4">
        <f t="shared" si="15"/>
        <v>6349.385142857137</v>
      </c>
      <c r="CN22" s="4">
        <f t="shared" si="15"/>
        <v>6404.7908571428507</v>
      </c>
      <c r="CO22" s="4">
        <f t="shared" si="15"/>
        <v>6251.6297142857075</v>
      </c>
      <c r="CP22" s="4">
        <f t="shared" si="15"/>
        <v>6539.1908571428503</v>
      </c>
      <c r="CQ22" s="4">
        <f t="shared" si="15"/>
        <v>10140.068571428563</v>
      </c>
      <c r="CR22" s="4">
        <f t="shared" si="15"/>
        <v>13742.207999999988</v>
      </c>
    </row>
    <row r="23" spans="1:96">
      <c r="A23" t="s">
        <v>90</v>
      </c>
      <c r="B23" s="4">
        <v>23.89</v>
      </c>
      <c r="C23" s="4">
        <v>26.47</v>
      </c>
      <c r="D23" s="4">
        <v>22.75</v>
      </c>
      <c r="E23" s="4">
        <v>23.08</v>
      </c>
      <c r="F23" s="4">
        <v>23.93</v>
      </c>
      <c r="G23" s="4">
        <v>25.61</v>
      </c>
      <c r="H23" s="4">
        <v>26.71</v>
      </c>
      <c r="I23" s="4">
        <v>27.07</v>
      </c>
      <c r="J23" s="4">
        <v>26.42</v>
      </c>
      <c r="K23" s="5">
        <v>35.090000000000003</v>
      </c>
      <c r="L23" s="5">
        <v>53.23</v>
      </c>
      <c r="M23" s="5">
        <v>66.08</v>
      </c>
      <c r="N23" s="5">
        <v>48.87</v>
      </c>
      <c r="O23" s="5">
        <v>38.69</v>
      </c>
      <c r="P23" s="5">
        <v>32.72</v>
      </c>
      <c r="Q23" s="5">
        <v>34.15</v>
      </c>
      <c r="R23" s="5">
        <v>35.14</v>
      </c>
      <c r="S23" s="6">
        <v>32.22</v>
      </c>
      <c r="T23" s="7">
        <v>42.39</v>
      </c>
      <c r="U23" s="7">
        <v>49.41</v>
      </c>
      <c r="V23" s="7">
        <v>51.22</v>
      </c>
      <c r="W23" s="7">
        <v>59.36</v>
      </c>
      <c r="X23" s="7">
        <v>78.39</v>
      </c>
      <c r="Y23" s="7">
        <v>75.760000000000005</v>
      </c>
      <c r="Z23" s="7">
        <v>73.88</v>
      </c>
      <c r="AA23" s="7">
        <v>62.18</v>
      </c>
      <c r="AB23" s="7">
        <v>56.49</v>
      </c>
      <c r="AC23" s="7">
        <v>62.6</v>
      </c>
      <c r="AD23" s="8">
        <v>71.819999999999993</v>
      </c>
      <c r="AE23" s="8">
        <v>73.760000000000005</v>
      </c>
      <c r="AF23" s="8">
        <v>67.569999999999993</v>
      </c>
      <c r="AG23" s="8">
        <v>63.4</v>
      </c>
      <c r="AH23" s="8">
        <v>57.81</v>
      </c>
      <c r="AI23" s="8">
        <v>56.45</v>
      </c>
      <c r="AJ23" s="8">
        <v>55.35</v>
      </c>
      <c r="AK23" s="8">
        <v>53.57</v>
      </c>
      <c r="AL23" s="8">
        <v>56.67</v>
      </c>
      <c r="AM23" s="8">
        <v>57.75</v>
      </c>
      <c r="AN23" s="8">
        <v>58.38</v>
      </c>
      <c r="AO23" s="8">
        <v>64.959999999999994</v>
      </c>
      <c r="AP23" s="8">
        <v>84.96</v>
      </c>
      <c r="AQ23" s="8">
        <v>84.77</v>
      </c>
      <c r="AR23" s="8">
        <v>90.86</v>
      </c>
      <c r="AS23" s="8">
        <v>106.92</v>
      </c>
      <c r="AT23" s="8">
        <v>108.35</v>
      </c>
      <c r="AU23" s="8">
        <v>171.06</v>
      </c>
      <c r="AV23" s="8">
        <v>273.74</v>
      </c>
      <c r="AW23" s="8">
        <v>348.66</v>
      </c>
      <c r="AX23" s="8">
        <v>380.97</v>
      </c>
      <c r="AY23" s="8">
        <v>327.27999999999997</v>
      </c>
      <c r="AZ23" s="8">
        <v>255.06</v>
      </c>
      <c r="BA23" s="8">
        <v>277.64</v>
      </c>
      <c r="BB23" s="8">
        <v>277.08999999999997</v>
      </c>
      <c r="BC23" s="8">
        <v>229.54</v>
      </c>
      <c r="BD23" s="8">
        <v>202.09</v>
      </c>
      <c r="BE23" s="8">
        <v>194.87</v>
      </c>
      <c r="BF23" s="8">
        <v>203.67</v>
      </c>
      <c r="BG23" s="8">
        <v>243.76</v>
      </c>
      <c r="BH23" s="8">
        <v>260.93</v>
      </c>
      <c r="BI23" s="8">
        <v>280.61</v>
      </c>
      <c r="BJ23" s="8">
        <v>286.68</v>
      </c>
      <c r="BK23" s="8">
        <v>349.77</v>
      </c>
      <c r="BL23" s="8">
        <v>393.08</v>
      </c>
      <c r="BM23" s="8">
        <v>476.72</v>
      </c>
      <c r="BN23" s="8">
        <v>764.95</v>
      </c>
      <c r="BO23" s="8">
        <v>950.73</v>
      </c>
      <c r="BP23" s="8">
        <v>1056.1600000000001</v>
      </c>
      <c r="BQ23" s="8">
        <v>1138.07</v>
      </c>
      <c r="BR23" s="8">
        <v>1145.95</v>
      </c>
      <c r="BS23" s="8">
        <v>1800.1</v>
      </c>
      <c r="BT23" s="8">
        <v>1781.74</v>
      </c>
      <c r="BU23" s="8">
        <v>1605.65</v>
      </c>
      <c r="BV23" s="8">
        <v>1301.44</v>
      </c>
      <c r="BW23" s="8">
        <v>1057.72</v>
      </c>
      <c r="BX23" s="8">
        <v>885.38</v>
      </c>
      <c r="BY23" s="8">
        <v>849.14</v>
      </c>
      <c r="BZ23" s="8">
        <v>798.26</v>
      </c>
      <c r="CA23" s="8">
        <v>794.92</v>
      </c>
      <c r="CB23" s="8">
        <v>753.46</v>
      </c>
      <c r="CC23" s="8">
        <v>740.13</v>
      </c>
      <c r="CD23" s="8">
        <v>719.03</v>
      </c>
      <c r="CE23" s="8">
        <v>703.69</v>
      </c>
      <c r="CF23" s="8">
        <v>716.66</v>
      </c>
      <c r="CG23" s="8">
        <v>753.4</v>
      </c>
      <c r="CH23" s="8">
        <v>922.48</v>
      </c>
      <c r="CI23" s="8">
        <v>1041.72</v>
      </c>
      <c r="CJ23" s="8">
        <v>1010.45</v>
      </c>
      <c r="CK23" s="8">
        <v>1004.69</v>
      </c>
      <c r="CL23" s="8">
        <v>1004.54</v>
      </c>
      <c r="CM23" s="8">
        <v>1002.39</v>
      </c>
      <c r="CN23" s="8">
        <v>1131.3599999999999</v>
      </c>
      <c r="CO23" s="8">
        <v>1247.32</v>
      </c>
      <c r="CP23" s="8">
        <v>1295.49</v>
      </c>
      <c r="CQ23" s="8">
        <v>1516.61</v>
      </c>
      <c r="CR23" s="8">
        <v>2163.96</v>
      </c>
    </row>
    <row r="24" spans="1:96">
      <c r="A24" t="s">
        <v>91</v>
      </c>
      <c r="B24" s="4">
        <v>21.94</v>
      </c>
      <c r="C24" s="4">
        <v>32.53</v>
      </c>
      <c r="D24" s="4">
        <v>33.78</v>
      </c>
      <c r="E24" s="4">
        <v>34.32</v>
      </c>
      <c r="F24" s="4">
        <v>34.369999999999997</v>
      </c>
      <c r="G24" s="4">
        <v>29.87</v>
      </c>
      <c r="H24" s="4">
        <v>27.6</v>
      </c>
      <c r="I24" s="4">
        <v>27.34</v>
      </c>
      <c r="J24" s="4">
        <v>26.98</v>
      </c>
      <c r="K24" s="5">
        <v>27.09</v>
      </c>
      <c r="L24" s="5">
        <v>28.12</v>
      </c>
      <c r="M24" s="5">
        <v>39.44</v>
      </c>
      <c r="N24" s="5">
        <v>48.07</v>
      </c>
      <c r="O24" s="5">
        <v>50.4</v>
      </c>
      <c r="P24" s="5">
        <v>51.28</v>
      </c>
      <c r="Q24" s="5">
        <v>44.39</v>
      </c>
      <c r="R24" s="5">
        <v>37.93</v>
      </c>
      <c r="S24" s="6">
        <v>35.18</v>
      </c>
      <c r="T24" s="7">
        <v>38.54</v>
      </c>
      <c r="U24" s="7">
        <v>36.49</v>
      </c>
      <c r="V24" s="7">
        <v>38.32</v>
      </c>
      <c r="W24" s="7">
        <v>36.49</v>
      </c>
      <c r="X24" s="7">
        <v>35.659999999999997</v>
      </c>
      <c r="Y24" s="7">
        <v>40.18</v>
      </c>
      <c r="Z24" s="7">
        <v>42.85</v>
      </c>
      <c r="AA24" s="7">
        <v>60.64</v>
      </c>
      <c r="AB24" s="7">
        <v>99.86</v>
      </c>
      <c r="AC24" s="7">
        <v>77.599999999999994</v>
      </c>
      <c r="AD24" s="8">
        <v>65.3</v>
      </c>
      <c r="AE24" s="8">
        <v>58.36</v>
      </c>
      <c r="AF24" s="8">
        <v>58.5</v>
      </c>
      <c r="AG24" s="8">
        <v>56.16</v>
      </c>
      <c r="AH24" s="8">
        <v>54.6</v>
      </c>
      <c r="AI24" s="8">
        <v>55.73</v>
      </c>
      <c r="AJ24" s="8">
        <v>56.98</v>
      </c>
      <c r="AK24" s="8">
        <v>74.08</v>
      </c>
      <c r="AL24" s="8">
        <v>99.38</v>
      </c>
      <c r="AM24" s="8">
        <v>99.58</v>
      </c>
      <c r="AN24" s="8">
        <v>93.93</v>
      </c>
      <c r="AO24" s="8">
        <v>89.6</v>
      </c>
      <c r="AP24" s="8">
        <v>86.7</v>
      </c>
      <c r="AQ24" s="8">
        <v>80.13</v>
      </c>
      <c r="AR24" s="8">
        <v>82.15</v>
      </c>
      <c r="AS24" s="8">
        <v>81.180000000000007</v>
      </c>
      <c r="AT24" s="8">
        <v>87.14</v>
      </c>
      <c r="AU24" s="8">
        <v>103.15</v>
      </c>
      <c r="AV24" s="8">
        <v>117.83</v>
      </c>
      <c r="AW24" s="8">
        <v>136.81</v>
      </c>
      <c r="AX24" s="8">
        <v>197.26</v>
      </c>
      <c r="AY24" s="8">
        <v>227.07</v>
      </c>
      <c r="AZ24" s="8">
        <v>261.27</v>
      </c>
      <c r="BA24" s="8">
        <v>267.76</v>
      </c>
      <c r="BB24" s="8">
        <v>267.33</v>
      </c>
      <c r="BC24" s="8">
        <v>251.23</v>
      </c>
      <c r="BD24" s="8">
        <v>238.53</v>
      </c>
      <c r="BE24" s="8">
        <v>236.99</v>
      </c>
      <c r="BF24" s="8">
        <v>235.1</v>
      </c>
      <c r="BG24" s="8">
        <v>245.23</v>
      </c>
      <c r="BH24" s="8">
        <v>256.42</v>
      </c>
      <c r="BI24" s="8">
        <v>262.2</v>
      </c>
      <c r="BJ24" s="8">
        <v>267.64</v>
      </c>
      <c r="BK24" s="8">
        <v>279.55</v>
      </c>
      <c r="BL24" s="8">
        <v>380.62</v>
      </c>
      <c r="BM24" s="8">
        <v>516.97</v>
      </c>
      <c r="BN24" s="8">
        <v>553.36</v>
      </c>
      <c r="BO24" s="8">
        <v>533.12</v>
      </c>
      <c r="BP24" s="8">
        <v>535.46</v>
      </c>
      <c r="BQ24" s="8">
        <v>553.88</v>
      </c>
      <c r="BR24" s="8">
        <v>595.57000000000005</v>
      </c>
      <c r="BS24" s="8">
        <v>609.23</v>
      </c>
      <c r="BT24" s="8">
        <v>664.06</v>
      </c>
      <c r="BU24" s="8">
        <v>849.07</v>
      </c>
      <c r="BV24" s="8">
        <v>1158.6300000000001</v>
      </c>
      <c r="BW24" s="8">
        <v>1402.12</v>
      </c>
      <c r="BX24" s="8">
        <v>1512.76</v>
      </c>
      <c r="BY24" s="8">
        <v>1353.17</v>
      </c>
      <c r="BZ24" s="8">
        <v>1184.25</v>
      </c>
      <c r="CA24" s="8">
        <v>1032.24</v>
      </c>
      <c r="CB24" s="8">
        <v>949.95</v>
      </c>
      <c r="CC24" s="8">
        <v>909.8</v>
      </c>
      <c r="CD24" s="8">
        <v>852.48</v>
      </c>
      <c r="CE24" s="8">
        <v>855.05</v>
      </c>
      <c r="CF24" s="8">
        <v>860.69</v>
      </c>
      <c r="CG24" s="8">
        <v>922.05</v>
      </c>
      <c r="CH24" s="8">
        <v>991.28</v>
      </c>
      <c r="CI24" s="8">
        <v>1137.76</v>
      </c>
      <c r="CJ24" s="8">
        <v>1244.78</v>
      </c>
      <c r="CK24" s="8">
        <v>1305.99</v>
      </c>
      <c r="CL24" s="8">
        <v>1264.56</v>
      </c>
      <c r="CM24" s="8">
        <v>1157.44</v>
      </c>
      <c r="CN24" s="8">
        <v>1167.54</v>
      </c>
      <c r="CO24" s="8">
        <v>1139.6199999999999</v>
      </c>
      <c r="CP24" s="8">
        <v>1192.04</v>
      </c>
      <c r="CQ24" s="8">
        <v>1848.45</v>
      </c>
      <c r="CR24" s="8">
        <v>2505.09</v>
      </c>
    </row>
    <row r="25" spans="1:96">
      <c r="A25" t="s">
        <v>92</v>
      </c>
      <c r="B25" s="4">
        <f>+B26*1.09210526315789</f>
        <v>23.840657894736736</v>
      </c>
      <c r="C25" s="4">
        <f t="shared" ref="C25:BN25" si="16">+C26*1.09210526315789</f>
        <v>31.277894736841972</v>
      </c>
      <c r="D25" s="4">
        <f t="shared" si="16"/>
        <v>25.609868421052521</v>
      </c>
      <c r="E25" s="4">
        <f t="shared" si="16"/>
        <v>24.517763157894631</v>
      </c>
      <c r="F25" s="4">
        <f t="shared" si="16"/>
        <v>22.202499999999901</v>
      </c>
      <c r="G25" s="4">
        <f t="shared" si="16"/>
        <v>23.174473684210426</v>
      </c>
      <c r="H25" s="4">
        <f t="shared" si="16"/>
        <v>22.748552631578846</v>
      </c>
      <c r="I25" s="4">
        <f t="shared" si="16"/>
        <v>22.999736842105161</v>
      </c>
      <c r="J25" s="4">
        <f t="shared" si="16"/>
        <v>24.703421052631473</v>
      </c>
      <c r="K25" s="4">
        <f t="shared" si="16"/>
        <v>26.450789473684097</v>
      </c>
      <c r="L25" s="4">
        <f t="shared" si="16"/>
        <v>27.881447368420933</v>
      </c>
      <c r="M25" s="4">
        <f t="shared" si="16"/>
        <v>30.677236842105131</v>
      </c>
      <c r="N25" s="4">
        <f t="shared" si="16"/>
        <v>29.738026315789345</v>
      </c>
      <c r="O25" s="4">
        <f t="shared" si="16"/>
        <v>30.961184210526184</v>
      </c>
      <c r="P25" s="4">
        <f t="shared" si="16"/>
        <v>30.142105263157767</v>
      </c>
      <c r="Q25" s="4">
        <f t="shared" si="16"/>
        <v>34.117368421052483</v>
      </c>
      <c r="R25" s="4">
        <f t="shared" si="16"/>
        <v>36.290657894736682</v>
      </c>
      <c r="S25" s="4">
        <f t="shared" si="16"/>
        <v>35.86473684210511</v>
      </c>
      <c r="T25" s="4">
        <f t="shared" si="16"/>
        <v>40.025657894736668</v>
      </c>
      <c r="U25" s="4">
        <f t="shared" si="16"/>
        <v>37.764999999999837</v>
      </c>
      <c r="V25" s="4">
        <f t="shared" si="16"/>
        <v>36.967763157894581</v>
      </c>
      <c r="W25" s="4">
        <f t="shared" si="16"/>
        <v>39.839999999999826</v>
      </c>
      <c r="X25" s="4">
        <f t="shared" si="16"/>
        <v>41.543684210526138</v>
      </c>
      <c r="Y25" s="4">
        <f t="shared" si="16"/>
        <v>40.058421052631402</v>
      </c>
      <c r="Z25" s="4">
        <f t="shared" si="16"/>
        <v>53.742499999999772</v>
      </c>
      <c r="AA25" s="4">
        <f t="shared" si="16"/>
        <v>62.533947368420783</v>
      </c>
      <c r="AB25" s="4">
        <f t="shared" si="16"/>
        <v>66.727631578947083</v>
      </c>
      <c r="AC25" s="4">
        <f t="shared" si="16"/>
        <v>65.198684210526039</v>
      </c>
      <c r="AD25" s="4">
        <f t="shared" si="16"/>
        <v>65.165921052631305</v>
      </c>
      <c r="AE25" s="4">
        <f t="shared" si="16"/>
        <v>61.00499999999974</v>
      </c>
      <c r="AF25" s="4">
        <f t="shared" si="16"/>
        <v>59.355921052631324</v>
      </c>
      <c r="AG25" s="4">
        <f t="shared" si="16"/>
        <v>61.103289473683951</v>
      </c>
      <c r="AH25" s="4">
        <f t="shared" si="16"/>
        <v>58.241973684210272</v>
      </c>
      <c r="AI25" s="4">
        <f t="shared" si="16"/>
        <v>57.182631578947124</v>
      </c>
      <c r="AJ25" s="4">
        <f t="shared" si="16"/>
        <v>54.812763157894501</v>
      </c>
      <c r="AK25" s="4">
        <f t="shared" si="16"/>
        <v>55.893947368420811</v>
      </c>
      <c r="AL25" s="4">
        <f t="shared" si="16"/>
        <v>57.728684210526069</v>
      </c>
      <c r="AM25" s="4">
        <f t="shared" si="16"/>
        <v>60.983157894736586</v>
      </c>
      <c r="AN25" s="4">
        <f t="shared" si="16"/>
        <v>58.656973684210271</v>
      </c>
      <c r="AO25" s="4">
        <f t="shared" si="16"/>
        <v>66.978815789473387</v>
      </c>
      <c r="AP25" s="4">
        <f t="shared" si="16"/>
        <v>77.921710526315451</v>
      </c>
      <c r="AQ25" s="4">
        <f t="shared" si="16"/>
        <v>73.433157894736524</v>
      </c>
      <c r="AR25" s="4">
        <f t="shared" si="16"/>
        <v>74.481578947368106</v>
      </c>
      <c r="AS25" s="4">
        <f t="shared" si="16"/>
        <v>77.845263157894408</v>
      </c>
      <c r="AT25" s="4">
        <f t="shared" si="16"/>
        <v>94.619999999999592</v>
      </c>
      <c r="AU25" s="4">
        <f t="shared" si="16"/>
        <v>99.731052631578507</v>
      </c>
      <c r="AV25" s="4">
        <f t="shared" si="16"/>
        <v>131.96999999999943</v>
      </c>
      <c r="AW25" s="4">
        <f t="shared" si="16"/>
        <v>155.25368421052565</v>
      </c>
      <c r="AX25" s="4">
        <f t="shared" si="16"/>
        <v>244.69710526315683</v>
      </c>
      <c r="AY25" s="4">
        <f t="shared" si="16"/>
        <v>225.68355263157798</v>
      </c>
      <c r="AZ25" s="4">
        <f t="shared" si="16"/>
        <v>230.36868421052532</v>
      </c>
      <c r="BA25" s="4">
        <f t="shared" si="16"/>
        <v>287.2455263157882</v>
      </c>
      <c r="BB25" s="4">
        <f t="shared" si="16"/>
        <v>280.34342105263033</v>
      </c>
      <c r="BC25" s="4">
        <f t="shared" si="16"/>
        <v>269.64078947368307</v>
      </c>
      <c r="BD25" s="4">
        <f t="shared" si="16"/>
        <v>263.00078947368308</v>
      </c>
      <c r="BE25" s="4">
        <f t="shared" si="16"/>
        <v>274.76276315789357</v>
      </c>
      <c r="BF25" s="4">
        <f t="shared" si="16"/>
        <v>342.7026315789459</v>
      </c>
      <c r="BG25" s="4">
        <f t="shared" si="16"/>
        <v>459.43776315789273</v>
      </c>
      <c r="BH25" s="4">
        <f t="shared" si="16"/>
        <v>589.55118421052384</v>
      </c>
      <c r="BI25" s="4">
        <f t="shared" si="16"/>
        <v>673.19552631578654</v>
      </c>
      <c r="BJ25" s="4">
        <f t="shared" si="16"/>
        <v>660.66907894736562</v>
      </c>
      <c r="BK25" s="4">
        <f t="shared" si="16"/>
        <v>678.66697368420751</v>
      </c>
      <c r="BL25" s="4">
        <f t="shared" si="16"/>
        <v>781.28118421052295</v>
      </c>
      <c r="BM25" s="4">
        <f t="shared" si="16"/>
        <v>788.23789473683871</v>
      </c>
      <c r="BN25" s="4">
        <f t="shared" si="16"/>
        <v>818.78407894736495</v>
      </c>
      <c r="BO25" s="4">
        <f t="shared" ref="BO25:CR25" si="17">+BO26*1.09210526315789</f>
        <v>817.65921052631234</v>
      </c>
      <c r="BP25" s="4">
        <f t="shared" si="17"/>
        <v>801.65986842104917</v>
      </c>
      <c r="BQ25" s="4">
        <f t="shared" si="17"/>
        <v>780.66960526315461</v>
      </c>
      <c r="BR25" s="4">
        <f t="shared" si="17"/>
        <v>774.0842105263124</v>
      </c>
      <c r="BS25" s="4">
        <f t="shared" si="17"/>
        <v>997.27776315789038</v>
      </c>
      <c r="BT25" s="4">
        <f t="shared" si="17"/>
        <v>1391.5059210526256</v>
      </c>
      <c r="BU25" s="4">
        <f t="shared" si="17"/>
        <v>1449.1144736842043</v>
      </c>
      <c r="BV25" s="4">
        <f t="shared" si="17"/>
        <v>1522.3073684210462</v>
      </c>
      <c r="BW25" s="4">
        <f t="shared" si="17"/>
        <v>1307.5011842105207</v>
      </c>
      <c r="BX25" s="4">
        <f t="shared" si="17"/>
        <v>1143.0192105263106</v>
      </c>
      <c r="BY25" s="4">
        <f t="shared" si="17"/>
        <v>920.34986842104865</v>
      </c>
      <c r="BZ25" s="4">
        <f t="shared" si="17"/>
        <v>863.62592105262786</v>
      </c>
      <c r="CA25" s="4">
        <f t="shared" si="17"/>
        <v>1106.9360526315743</v>
      </c>
      <c r="CB25" s="4">
        <f t="shared" si="17"/>
        <v>980.12078947368002</v>
      </c>
      <c r="CC25" s="4">
        <f t="shared" si="17"/>
        <v>900.28789473683821</v>
      </c>
      <c r="CD25" s="4">
        <f t="shared" si="17"/>
        <v>904.71092105262767</v>
      </c>
      <c r="CE25" s="4">
        <f t="shared" si="17"/>
        <v>950.7213157894696</v>
      </c>
      <c r="CF25" s="4">
        <f t="shared" si="17"/>
        <v>934.21960526315377</v>
      </c>
      <c r="CG25" s="4">
        <f t="shared" si="17"/>
        <v>898.80263157894353</v>
      </c>
      <c r="CH25" s="4">
        <f t="shared" si="17"/>
        <v>905.37710526315402</v>
      </c>
      <c r="CI25" s="4">
        <f t="shared" si="17"/>
        <v>1027.5727631578902</v>
      </c>
      <c r="CJ25" s="4">
        <f t="shared" si="17"/>
        <v>1016.2367105263114</v>
      </c>
      <c r="CK25" s="4">
        <f t="shared" si="17"/>
        <v>1316.882368421047</v>
      </c>
      <c r="CL25" s="4">
        <f t="shared" si="17"/>
        <v>1423.2861842105201</v>
      </c>
      <c r="CM25" s="4">
        <f t="shared" si="17"/>
        <v>1387.5852631578887</v>
      </c>
      <c r="CN25" s="4">
        <f t="shared" si="17"/>
        <v>1425.7106578947307</v>
      </c>
      <c r="CO25" s="4">
        <f t="shared" si="17"/>
        <v>1609.0205263157825</v>
      </c>
      <c r="CP25" s="4">
        <f t="shared" si="17"/>
        <v>1686.4835526315717</v>
      </c>
      <c r="CQ25" s="4">
        <f t="shared" si="17"/>
        <v>2037.4971052631493</v>
      </c>
      <c r="CR25" s="4">
        <f t="shared" si="17"/>
        <v>2485.5332894736734</v>
      </c>
    </row>
    <row r="26" spans="1:96">
      <c r="A26" t="s">
        <v>93</v>
      </c>
      <c r="B26" s="4">
        <v>21.83</v>
      </c>
      <c r="C26" s="4">
        <v>28.64</v>
      </c>
      <c r="D26" s="4">
        <v>23.45</v>
      </c>
      <c r="E26" s="4">
        <v>22.45</v>
      </c>
      <c r="F26" s="4">
        <v>20.329999999999998</v>
      </c>
      <c r="G26" s="4">
        <v>21.22</v>
      </c>
      <c r="H26" s="4">
        <v>20.83</v>
      </c>
      <c r="I26" s="4">
        <v>21.06</v>
      </c>
      <c r="J26" s="4">
        <v>22.62</v>
      </c>
      <c r="K26" s="5">
        <v>24.22</v>
      </c>
      <c r="L26" s="5">
        <v>25.53</v>
      </c>
      <c r="M26" s="5">
        <v>28.09</v>
      </c>
      <c r="N26" s="5">
        <v>27.23</v>
      </c>
      <c r="O26" s="5">
        <v>28.35</v>
      </c>
      <c r="P26" s="5">
        <v>27.6</v>
      </c>
      <c r="Q26" s="5">
        <v>31.24</v>
      </c>
      <c r="R26" s="5">
        <v>33.229999999999997</v>
      </c>
      <c r="S26" s="6">
        <v>32.840000000000003</v>
      </c>
      <c r="T26" s="7">
        <v>36.65</v>
      </c>
      <c r="U26" s="7">
        <v>34.58</v>
      </c>
      <c r="V26" s="7">
        <v>33.85</v>
      </c>
      <c r="W26" s="7">
        <v>36.479999999999997</v>
      </c>
      <c r="X26" s="7">
        <v>38.04</v>
      </c>
      <c r="Y26" s="7">
        <v>36.68</v>
      </c>
      <c r="Z26" s="7">
        <v>49.21</v>
      </c>
      <c r="AA26" s="7">
        <v>57.26</v>
      </c>
      <c r="AB26" s="7">
        <v>61.1</v>
      </c>
      <c r="AC26" s="7">
        <v>59.7</v>
      </c>
      <c r="AD26" s="8">
        <v>59.67</v>
      </c>
      <c r="AE26" s="8">
        <v>55.86</v>
      </c>
      <c r="AF26" s="8">
        <v>54.35</v>
      </c>
      <c r="AG26" s="8">
        <v>55.95</v>
      </c>
      <c r="AH26" s="8">
        <v>53.33</v>
      </c>
      <c r="AI26" s="8">
        <v>52.36</v>
      </c>
      <c r="AJ26" s="8">
        <v>50.19</v>
      </c>
      <c r="AK26" s="8">
        <v>51.18</v>
      </c>
      <c r="AL26" s="8">
        <v>52.86</v>
      </c>
      <c r="AM26" s="8">
        <v>55.84</v>
      </c>
      <c r="AN26" s="8">
        <v>53.71</v>
      </c>
      <c r="AO26" s="8">
        <v>61.33</v>
      </c>
      <c r="AP26" s="8">
        <v>71.349999999999994</v>
      </c>
      <c r="AQ26" s="8">
        <v>67.239999999999995</v>
      </c>
      <c r="AR26" s="8">
        <v>68.2</v>
      </c>
      <c r="AS26" s="8">
        <v>71.28</v>
      </c>
      <c r="AT26" s="8">
        <v>86.64</v>
      </c>
      <c r="AU26" s="8">
        <v>91.32</v>
      </c>
      <c r="AV26" s="8">
        <v>120.84</v>
      </c>
      <c r="AW26" s="8">
        <v>142.16</v>
      </c>
      <c r="AX26" s="8">
        <v>224.06</v>
      </c>
      <c r="AY26" s="8">
        <v>206.65</v>
      </c>
      <c r="AZ26" s="8">
        <v>210.94</v>
      </c>
      <c r="BA26" s="8">
        <v>263.02</v>
      </c>
      <c r="BB26" s="8">
        <v>256.7</v>
      </c>
      <c r="BC26" s="8">
        <v>246.9</v>
      </c>
      <c r="BD26" s="8">
        <v>240.82</v>
      </c>
      <c r="BE26" s="8">
        <v>251.59</v>
      </c>
      <c r="BF26" s="8">
        <v>313.8</v>
      </c>
      <c r="BG26" s="8">
        <v>420.69</v>
      </c>
      <c r="BH26" s="8">
        <v>539.83000000000004</v>
      </c>
      <c r="BI26" s="8">
        <v>616.41999999999996</v>
      </c>
      <c r="BJ26" s="8">
        <v>604.95000000000005</v>
      </c>
      <c r="BK26" s="8">
        <v>621.42999999999995</v>
      </c>
      <c r="BL26" s="8">
        <v>715.39</v>
      </c>
      <c r="BM26" s="8">
        <v>721.76</v>
      </c>
      <c r="BN26" s="8">
        <v>749.73</v>
      </c>
      <c r="BO26" s="8">
        <v>748.7</v>
      </c>
      <c r="BP26" s="8">
        <v>734.05</v>
      </c>
      <c r="BQ26" s="8">
        <v>714.83</v>
      </c>
      <c r="BR26" s="8">
        <v>708.8</v>
      </c>
      <c r="BS26" s="8">
        <v>913.17</v>
      </c>
      <c r="BT26" s="8">
        <v>1274.1500000000001</v>
      </c>
      <c r="BU26" s="8">
        <v>1326.9</v>
      </c>
      <c r="BV26" s="8">
        <v>1393.92</v>
      </c>
      <c r="BW26" s="8">
        <v>1197.23</v>
      </c>
      <c r="BX26" s="8">
        <v>1046.6199999999999</v>
      </c>
      <c r="BY26" s="8">
        <v>842.73</v>
      </c>
      <c r="BZ26" s="8">
        <v>790.79</v>
      </c>
      <c r="CA26" s="8">
        <v>1013.58</v>
      </c>
      <c r="CB26" s="8">
        <v>897.46</v>
      </c>
      <c r="CC26" s="8">
        <v>824.36</v>
      </c>
      <c r="CD26" s="8">
        <v>828.41</v>
      </c>
      <c r="CE26" s="8">
        <v>870.54</v>
      </c>
      <c r="CF26" s="8">
        <v>855.43</v>
      </c>
      <c r="CG26" s="8">
        <v>823</v>
      </c>
      <c r="CH26" s="8">
        <v>829.02</v>
      </c>
      <c r="CI26" s="8">
        <v>940.91</v>
      </c>
      <c r="CJ26" s="8">
        <v>930.53</v>
      </c>
      <c r="CK26" s="8">
        <v>1205.82</v>
      </c>
      <c r="CL26" s="8">
        <v>1303.25</v>
      </c>
      <c r="CM26" s="8">
        <v>1270.56</v>
      </c>
      <c r="CN26" s="8">
        <v>1305.47</v>
      </c>
      <c r="CO26" s="8">
        <v>1473.32</v>
      </c>
      <c r="CP26" s="8">
        <v>1544.25</v>
      </c>
      <c r="CQ26" s="8">
        <v>1865.66</v>
      </c>
      <c r="CR26" s="8">
        <v>2275.91</v>
      </c>
    </row>
    <row r="27" spans="1:96">
      <c r="A27" t="s">
        <v>94</v>
      </c>
      <c r="B27" s="4">
        <v>22.17</v>
      </c>
      <c r="C27" s="4">
        <v>22.68</v>
      </c>
      <c r="D27" s="4">
        <v>22.65</v>
      </c>
      <c r="E27" s="4">
        <v>23.49</v>
      </c>
      <c r="F27" s="4">
        <v>24.83</v>
      </c>
      <c r="G27" s="4">
        <v>25.46</v>
      </c>
      <c r="H27" s="4">
        <v>27.28</v>
      </c>
      <c r="I27" s="4">
        <v>26.85</v>
      </c>
      <c r="J27" s="4">
        <v>24.33</v>
      </c>
      <c r="K27" s="5">
        <v>23.55</v>
      </c>
      <c r="L27" s="5">
        <v>23.18</v>
      </c>
      <c r="M27" s="5">
        <v>22.94</v>
      </c>
      <c r="N27" s="5">
        <v>22.93</v>
      </c>
      <c r="O27" s="5">
        <v>24.17</v>
      </c>
      <c r="P27" s="5">
        <v>26.41</v>
      </c>
      <c r="Q27" s="5">
        <v>27.79</v>
      </c>
      <c r="R27" s="5">
        <v>30.27</v>
      </c>
      <c r="S27" s="6">
        <v>34.909999999999997</v>
      </c>
      <c r="T27" s="7">
        <v>54.89</v>
      </c>
      <c r="U27" s="7">
        <v>51.76</v>
      </c>
      <c r="V27" s="7">
        <v>44.38</v>
      </c>
      <c r="W27" s="7">
        <v>41.23</v>
      </c>
      <c r="X27" s="7">
        <v>43.28</v>
      </c>
      <c r="Y27" s="7">
        <v>46.4</v>
      </c>
      <c r="Z27" s="7">
        <v>52.26</v>
      </c>
      <c r="AA27" s="7">
        <v>60.21</v>
      </c>
      <c r="AB27" s="7">
        <v>73.489999999999995</v>
      </c>
      <c r="AC27" s="7">
        <v>90.47</v>
      </c>
      <c r="AD27" s="8">
        <v>112.28</v>
      </c>
      <c r="AE27" s="8">
        <v>114.89</v>
      </c>
      <c r="AF27" s="8">
        <v>130.5</v>
      </c>
      <c r="AG27" s="8">
        <v>93.25</v>
      </c>
      <c r="AH27" s="8">
        <v>76.31</v>
      </c>
      <c r="AI27" s="8">
        <v>67.790000000000006</v>
      </c>
      <c r="AJ27" s="8">
        <v>62.75</v>
      </c>
      <c r="AK27" s="8">
        <v>63.62</v>
      </c>
      <c r="AL27" s="8">
        <v>60.66</v>
      </c>
      <c r="AM27" s="8">
        <v>65.72</v>
      </c>
      <c r="AN27" s="8">
        <v>64.349999999999994</v>
      </c>
      <c r="AO27" s="8">
        <v>74.12</v>
      </c>
      <c r="AP27" s="8">
        <v>88.82</v>
      </c>
      <c r="AQ27" s="8">
        <v>96.32</v>
      </c>
      <c r="AR27" s="8">
        <v>100.02</v>
      </c>
      <c r="AS27" s="8">
        <v>96.67</v>
      </c>
      <c r="AT27" s="8">
        <v>87.35</v>
      </c>
      <c r="AU27" s="8">
        <v>87.9</v>
      </c>
      <c r="AV27" s="8">
        <v>98.34</v>
      </c>
      <c r="AW27" s="8">
        <v>102.3</v>
      </c>
      <c r="AX27" s="8">
        <v>105.65</v>
      </c>
      <c r="AY27" s="8">
        <v>110.58</v>
      </c>
      <c r="AZ27" s="8">
        <v>136.5</v>
      </c>
      <c r="BA27" s="8">
        <v>203.25</v>
      </c>
      <c r="BB27" s="8">
        <v>350.32</v>
      </c>
      <c r="BC27" s="8">
        <v>503.01</v>
      </c>
      <c r="BD27" s="8">
        <v>602.48</v>
      </c>
      <c r="BE27" s="8">
        <v>462.43</v>
      </c>
      <c r="BF27" s="8">
        <v>342.64</v>
      </c>
      <c r="BG27" s="8">
        <v>334.91</v>
      </c>
      <c r="BH27" s="8">
        <v>381.08</v>
      </c>
      <c r="BI27" s="8">
        <v>449.05</v>
      </c>
      <c r="BJ27" s="8">
        <v>458.72</v>
      </c>
      <c r="BK27" s="8">
        <v>505.71</v>
      </c>
      <c r="BL27" s="8">
        <v>692.39</v>
      </c>
      <c r="BM27" s="8">
        <v>1096.93</v>
      </c>
      <c r="BN27" s="8">
        <v>1397</v>
      </c>
      <c r="BO27" s="8">
        <v>1494.21</v>
      </c>
      <c r="BP27" s="8">
        <v>1656.48</v>
      </c>
      <c r="BQ27" s="8">
        <v>1091.94</v>
      </c>
      <c r="BR27" s="8">
        <v>890.09</v>
      </c>
      <c r="BS27" s="8">
        <v>820.11</v>
      </c>
      <c r="BT27" s="8">
        <v>801.84</v>
      </c>
      <c r="BU27" s="8">
        <v>811.45</v>
      </c>
      <c r="BV27" s="8">
        <v>841.26</v>
      </c>
      <c r="BW27" s="8">
        <v>875.01</v>
      </c>
      <c r="BX27" s="8">
        <v>906.13</v>
      </c>
      <c r="BY27" s="8">
        <v>984.23</v>
      </c>
      <c r="BZ27" s="8">
        <v>1110.3</v>
      </c>
      <c r="CA27" s="8">
        <v>1240.8499999999999</v>
      </c>
      <c r="CB27" s="8">
        <v>1256.97</v>
      </c>
      <c r="CC27" s="8">
        <v>1124.8399999999999</v>
      </c>
      <c r="CD27" s="8">
        <v>974.67</v>
      </c>
      <c r="CE27" s="8">
        <v>971.05</v>
      </c>
      <c r="CF27" s="8">
        <v>1014.18</v>
      </c>
      <c r="CG27" s="8">
        <v>1060.5999999999999</v>
      </c>
      <c r="CH27" s="8">
        <v>1071.0999999999999</v>
      </c>
      <c r="CI27" s="8">
        <v>1132.3599999999999</v>
      </c>
      <c r="CJ27" s="8">
        <v>1241.67</v>
      </c>
      <c r="CK27" s="8">
        <v>1615.69</v>
      </c>
      <c r="CL27" s="8">
        <v>1756.28</v>
      </c>
      <c r="CM27" s="8">
        <v>1905.07</v>
      </c>
      <c r="CN27" s="8">
        <v>2086.35</v>
      </c>
      <c r="CO27" s="8">
        <v>1577.62</v>
      </c>
      <c r="CP27" s="8">
        <v>1279.8499999999999</v>
      </c>
      <c r="CQ27" s="8">
        <v>1181.6300000000001</v>
      </c>
      <c r="CR27" s="8">
        <v>1171.57</v>
      </c>
    </row>
    <row r="28" spans="1:96">
      <c r="A28" t="s">
        <v>95</v>
      </c>
      <c r="B28" s="4">
        <v>52.19</v>
      </c>
      <c r="C28" s="4">
        <v>48.16</v>
      </c>
      <c r="D28" s="4">
        <v>49.33</v>
      </c>
      <c r="E28" s="4">
        <v>49.64</v>
      </c>
      <c r="F28" s="4">
        <v>52.23</v>
      </c>
      <c r="G28" s="4">
        <v>53.92</v>
      </c>
      <c r="H28" s="4">
        <v>51.84</v>
      </c>
      <c r="I28" s="4">
        <v>52.6</v>
      </c>
      <c r="J28" s="4">
        <v>51.22</v>
      </c>
      <c r="K28" s="5">
        <v>52.97</v>
      </c>
      <c r="L28" s="5">
        <v>62.82</v>
      </c>
      <c r="M28" s="5">
        <v>74.430000000000007</v>
      </c>
      <c r="N28" s="5">
        <v>76.91</v>
      </c>
      <c r="O28" s="5">
        <v>114.47</v>
      </c>
      <c r="P28" s="5">
        <v>102.07</v>
      </c>
      <c r="Q28" s="5">
        <v>91.99</v>
      </c>
      <c r="R28" s="5">
        <v>89.56</v>
      </c>
      <c r="S28" s="6">
        <v>92.98</v>
      </c>
      <c r="T28" s="7">
        <v>95.36</v>
      </c>
      <c r="U28" s="7">
        <v>88.92</v>
      </c>
      <c r="V28" s="7">
        <v>91.57</v>
      </c>
      <c r="W28" s="7">
        <v>91.23</v>
      </c>
      <c r="X28" s="7">
        <v>89.37</v>
      </c>
      <c r="Y28" s="7">
        <v>97.8</v>
      </c>
      <c r="Z28" s="7">
        <v>100.33</v>
      </c>
      <c r="AA28" s="7">
        <v>97.81</v>
      </c>
      <c r="AB28" s="7">
        <v>108.33</v>
      </c>
      <c r="AC28" s="7">
        <v>117.64</v>
      </c>
      <c r="AD28" s="8">
        <v>123.31</v>
      </c>
      <c r="AE28" s="8">
        <v>127.98</v>
      </c>
      <c r="AF28" s="8">
        <v>126.25</v>
      </c>
      <c r="AG28" s="8">
        <v>124.78</v>
      </c>
      <c r="AH28" s="8">
        <v>125.61</v>
      </c>
      <c r="AI28" s="8">
        <v>123</v>
      </c>
      <c r="AJ28" s="8">
        <v>132.04</v>
      </c>
      <c r="AK28" s="8">
        <v>149.76</v>
      </c>
      <c r="AL28" s="8">
        <v>174.87</v>
      </c>
      <c r="AM28" s="8">
        <v>172.6</v>
      </c>
      <c r="AN28" s="8">
        <v>173.48</v>
      </c>
      <c r="AO28" s="8">
        <v>182.37</v>
      </c>
      <c r="AP28" s="8">
        <v>195.05</v>
      </c>
      <c r="AQ28" s="8">
        <v>184.32</v>
      </c>
      <c r="AR28" s="8">
        <v>184.59</v>
      </c>
      <c r="AS28" s="8">
        <v>192.91</v>
      </c>
      <c r="AT28" s="8">
        <v>188.45</v>
      </c>
      <c r="AU28" s="8">
        <v>221.22</v>
      </c>
      <c r="AV28" s="8">
        <v>254.57</v>
      </c>
      <c r="AW28" s="8">
        <v>268.23</v>
      </c>
      <c r="AX28" s="8">
        <v>318.93</v>
      </c>
      <c r="AY28" s="8">
        <v>402.1</v>
      </c>
      <c r="AZ28" s="8">
        <v>381.09</v>
      </c>
      <c r="BA28" s="8">
        <v>364.69</v>
      </c>
      <c r="BB28" s="8">
        <v>387.06</v>
      </c>
      <c r="BC28" s="8">
        <v>420.56</v>
      </c>
      <c r="BD28" s="8">
        <v>419.6</v>
      </c>
      <c r="BE28" s="8">
        <v>434.71</v>
      </c>
      <c r="BF28" s="8">
        <v>453.19</v>
      </c>
      <c r="BG28" s="8">
        <v>508.51</v>
      </c>
      <c r="BH28" s="8">
        <v>575.69000000000005</v>
      </c>
      <c r="BI28" s="8">
        <v>841.44</v>
      </c>
      <c r="BJ28" s="8">
        <v>864.91</v>
      </c>
      <c r="BK28" s="8">
        <v>1168.5</v>
      </c>
      <c r="BL28" s="8">
        <v>1530.59</v>
      </c>
      <c r="BM28" s="8">
        <v>1619.84</v>
      </c>
      <c r="BN28" s="8">
        <v>2196.84</v>
      </c>
      <c r="BO28" s="8">
        <v>2072.9299999999998</v>
      </c>
      <c r="BP28" s="8">
        <v>1730.62</v>
      </c>
      <c r="BQ28" s="8">
        <v>1556.47</v>
      </c>
      <c r="BR28" s="8">
        <v>1672.39</v>
      </c>
      <c r="BS28" s="8">
        <v>2082.16</v>
      </c>
      <c r="BT28" s="8">
        <v>2039.17</v>
      </c>
      <c r="BU28" s="8">
        <v>2095.02</v>
      </c>
      <c r="BV28" s="8">
        <v>2038.01</v>
      </c>
      <c r="BW28" s="8">
        <v>2063.02</v>
      </c>
      <c r="BX28" s="8">
        <v>2030.93</v>
      </c>
      <c r="BY28" s="8">
        <v>2020.35</v>
      </c>
      <c r="BZ28" s="8">
        <v>2005.28</v>
      </c>
      <c r="CA28" s="8">
        <v>2132.16</v>
      </c>
      <c r="CB28" s="8">
        <v>2088.13</v>
      </c>
      <c r="CC28" s="8">
        <v>2061.64</v>
      </c>
      <c r="CD28" s="8">
        <v>2068.3000000000002</v>
      </c>
      <c r="CE28" s="8">
        <v>2273.8200000000002</v>
      </c>
      <c r="CF28" s="8">
        <v>2485.38</v>
      </c>
      <c r="CG28" s="8">
        <v>2627.06</v>
      </c>
      <c r="CH28" s="8">
        <v>2977.35</v>
      </c>
      <c r="CI28" s="8">
        <v>3058.95</v>
      </c>
      <c r="CJ28" s="8">
        <v>3081.4</v>
      </c>
      <c r="CK28" s="8">
        <v>2828.65</v>
      </c>
      <c r="CL28" s="8">
        <v>2707.58</v>
      </c>
      <c r="CM28" s="8">
        <v>2873.57</v>
      </c>
      <c r="CN28" s="8">
        <v>2706.21</v>
      </c>
      <c r="CO28" s="8">
        <v>2581.79</v>
      </c>
      <c r="CP28" s="8">
        <v>2523.89</v>
      </c>
      <c r="CQ28" s="8">
        <v>2715.14</v>
      </c>
      <c r="CR28" s="8">
        <v>3539.66</v>
      </c>
    </row>
    <row r="29" spans="1:96">
      <c r="A29" t="s">
        <v>96</v>
      </c>
      <c r="B29" s="4">
        <v>50.29</v>
      </c>
      <c r="C29" s="4">
        <v>57.16</v>
      </c>
      <c r="D29" s="4">
        <v>62.09</v>
      </c>
      <c r="E29" s="4">
        <v>69.89</v>
      </c>
      <c r="F29" s="4">
        <v>68.88</v>
      </c>
      <c r="G29" s="4">
        <v>59.2</v>
      </c>
      <c r="H29" s="4">
        <v>56.13</v>
      </c>
      <c r="I29" s="4">
        <v>56.18</v>
      </c>
      <c r="J29" s="4">
        <v>55.84</v>
      </c>
      <c r="K29" s="5">
        <v>57.14</v>
      </c>
      <c r="L29" s="5">
        <v>58.99</v>
      </c>
      <c r="M29" s="5">
        <v>60.73</v>
      </c>
      <c r="N29" s="5">
        <v>63.91</v>
      </c>
      <c r="O29" s="5">
        <v>68.67</v>
      </c>
      <c r="P29" s="5">
        <v>72.989999999999995</v>
      </c>
      <c r="Q29" s="5">
        <v>76.33</v>
      </c>
      <c r="R29" s="5">
        <v>76.97</v>
      </c>
      <c r="S29" s="6">
        <v>77.97</v>
      </c>
      <c r="T29" s="7">
        <v>82.09</v>
      </c>
      <c r="U29" s="7">
        <v>84.68</v>
      </c>
      <c r="V29" s="7">
        <v>84.35</v>
      </c>
      <c r="W29" s="7">
        <v>87.23</v>
      </c>
      <c r="X29" s="7">
        <v>95.8</v>
      </c>
      <c r="Y29" s="7">
        <v>115.08</v>
      </c>
      <c r="Z29" s="7">
        <v>151.5</v>
      </c>
      <c r="AA29" s="7">
        <v>172.76</v>
      </c>
      <c r="AB29" s="7">
        <v>185.56</v>
      </c>
      <c r="AC29" s="7">
        <v>201.39</v>
      </c>
      <c r="AD29" s="8">
        <v>195.89</v>
      </c>
      <c r="AE29" s="8">
        <v>184.29</v>
      </c>
      <c r="AF29" s="8">
        <v>170.45</v>
      </c>
      <c r="AG29" s="8">
        <v>164.73</v>
      </c>
      <c r="AH29" s="8">
        <v>164.77</v>
      </c>
      <c r="AI29" s="8">
        <v>166.23</v>
      </c>
      <c r="AJ29" s="8">
        <v>163.07</v>
      </c>
      <c r="AK29" s="8">
        <v>166</v>
      </c>
      <c r="AL29" s="8">
        <v>172.07</v>
      </c>
      <c r="AM29" s="8">
        <v>181.45</v>
      </c>
      <c r="AN29" s="8">
        <v>184.72</v>
      </c>
      <c r="AO29" s="8">
        <v>201.28</v>
      </c>
      <c r="AP29" s="8">
        <v>223.19</v>
      </c>
      <c r="AQ29" s="8">
        <v>221.48</v>
      </c>
      <c r="AR29" s="8">
        <v>227.93</v>
      </c>
      <c r="AS29" s="8">
        <v>238.3</v>
      </c>
      <c r="AT29" s="8">
        <v>244.64</v>
      </c>
      <c r="AU29" s="8">
        <v>268.36</v>
      </c>
      <c r="AV29" s="8">
        <v>290.95999999999998</v>
      </c>
      <c r="AW29" s="8">
        <v>328.33</v>
      </c>
      <c r="AX29" s="8">
        <v>375.09</v>
      </c>
      <c r="AY29" s="8">
        <v>423.17</v>
      </c>
      <c r="AZ29" s="8">
        <v>477.11</v>
      </c>
      <c r="BA29" s="8">
        <v>624.80999999999995</v>
      </c>
      <c r="BB29" s="8">
        <v>653.26</v>
      </c>
      <c r="BC29" s="8">
        <v>600.34</v>
      </c>
      <c r="BD29" s="8">
        <v>587.48</v>
      </c>
      <c r="BE29" s="8">
        <v>604.74</v>
      </c>
      <c r="BF29" s="8">
        <v>607.28</v>
      </c>
      <c r="BG29" s="8">
        <v>654.30999999999995</v>
      </c>
      <c r="BH29" s="8">
        <v>721.2</v>
      </c>
      <c r="BI29" s="8">
        <v>832.47</v>
      </c>
      <c r="BJ29" s="8">
        <v>909.44</v>
      </c>
      <c r="BK29" s="8">
        <v>1066.79</v>
      </c>
      <c r="BL29" s="8">
        <v>1336.87</v>
      </c>
      <c r="BM29" s="8">
        <v>1625.11</v>
      </c>
      <c r="BN29" s="8">
        <v>1958.52</v>
      </c>
      <c r="BO29" s="8">
        <v>1913.59</v>
      </c>
      <c r="BP29" s="8">
        <v>2000.46</v>
      </c>
      <c r="BQ29" s="8">
        <v>2051.4699999999998</v>
      </c>
      <c r="BR29" s="8">
        <v>2081.4699999999998</v>
      </c>
      <c r="BS29" s="8">
        <v>2119.85</v>
      </c>
      <c r="BT29" s="8">
        <v>2140.4899999999998</v>
      </c>
      <c r="BU29" s="8">
        <v>2235.7800000000002</v>
      </c>
      <c r="BV29" s="8">
        <v>2293.34</v>
      </c>
      <c r="BW29" s="8">
        <v>2406.75</v>
      </c>
      <c r="BX29" s="8">
        <v>2407.09</v>
      </c>
      <c r="BY29" s="8">
        <v>2419.2600000000002</v>
      </c>
      <c r="BZ29" s="8">
        <v>2414.1999999999998</v>
      </c>
      <c r="CA29" s="8">
        <v>2358.9</v>
      </c>
      <c r="CB29" s="8">
        <v>2414.64</v>
      </c>
      <c r="CC29" s="8">
        <v>2342.54</v>
      </c>
      <c r="CD29" s="8">
        <v>2352.9899999999998</v>
      </c>
      <c r="CE29" s="8">
        <v>2390.62</v>
      </c>
      <c r="CF29" s="8">
        <v>2487.5100000000002</v>
      </c>
      <c r="CG29" s="8">
        <v>2602.0700000000002</v>
      </c>
      <c r="CH29" s="8">
        <v>2890.3</v>
      </c>
      <c r="CI29" s="8">
        <v>3443.9</v>
      </c>
      <c r="CJ29" s="8">
        <v>4009.31</v>
      </c>
      <c r="CK29" s="8">
        <v>4754.59</v>
      </c>
      <c r="CL29" s="8">
        <v>4651.5200000000004</v>
      </c>
      <c r="CM29" s="8">
        <v>4072.72</v>
      </c>
      <c r="CN29" s="8">
        <v>3970.94</v>
      </c>
      <c r="CO29" s="8">
        <v>3980.16</v>
      </c>
      <c r="CP29" s="8">
        <v>3982.34</v>
      </c>
      <c r="CQ29" s="8">
        <v>4065.34</v>
      </c>
      <c r="CR29" s="8">
        <v>4001.68</v>
      </c>
    </row>
    <row r="30" spans="1:96">
      <c r="A30" t="s">
        <v>97</v>
      </c>
      <c r="B30" s="4">
        <f>+B27*1.13333333333333</f>
        <v>25.125999999999927</v>
      </c>
      <c r="C30" s="4">
        <f t="shared" ref="C30:BN30" si="18">+C27*1.13333333333333</f>
        <v>25.703999999999922</v>
      </c>
      <c r="D30" s="4">
        <f t="shared" si="18"/>
        <v>25.669999999999924</v>
      </c>
      <c r="E30" s="4">
        <f t="shared" si="18"/>
        <v>26.621999999999918</v>
      </c>
      <c r="F30" s="4">
        <f t="shared" si="18"/>
        <v>28.140666666666583</v>
      </c>
      <c r="G30" s="4">
        <f t="shared" si="18"/>
        <v>28.854666666666581</v>
      </c>
      <c r="H30" s="4">
        <f t="shared" si="18"/>
        <v>30.917333333333243</v>
      </c>
      <c r="I30" s="4">
        <f t="shared" si="18"/>
        <v>30.429999999999911</v>
      </c>
      <c r="J30" s="4">
        <f t="shared" si="18"/>
        <v>27.573999999999916</v>
      </c>
      <c r="K30" s="4">
        <f t="shared" si="18"/>
        <v>26.689999999999923</v>
      </c>
      <c r="L30" s="4">
        <f t="shared" si="18"/>
        <v>26.270666666666589</v>
      </c>
      <c r="M30" s="4">
        <f t="shared" si="18"/>
        <v>25.99866666666659</v>
      </c>
      <c r="N30" s="4">
        <f t="shared" si="18"/>
        <v>25.987333333333257</v>
      </c>
      <c r="O30" s="4">
        <f t="shared" si="18"/>
        <v>27.392666666666589</v>
      </c>
      <c r="P30" s="4">
        <f t="shared" si="18"/>
        <v>29.931333333333246</v>
      </c>
      <c r="Q30" s="4">
        <f t="shared" si="18"/>
        <v>31.495333333333239</v>
      </c>
      <c r="R30" s="4">
        <f t="shared" si="18"/>
        <v>34.305999999999898</v>
      </c>
      <c r="S30" s="4">
        <f t="shared" si="18"/>
        <v>39.564666666666547</v>
      </c>
      <c r="T30" s="4">
        <f t="shared" si="18"/>
        <v>62.208666666666481</v>
      </c>
      <c r="U30" s="4">
        <f t="shared" si="18"/>
        <v>58.661333333333154</v>
      </c>
      <c r="V30" s="4">
        <f t="shared" si="18"/>
        <v>50.297333333333185</v>
      </c>
      <c r="W30" s="4">
        <f t="shared" si="18"/>
        <v>46.727333333333192</v>
      </c>
      <c r="X30" s="4">
        <f t="shared" si="18"/>
        <v>49.050666666666523</v>
      </c>
      <c r="Y30" s="4">
        <f t="shared" si="18"/>
        <v>52.58666666666651</v>
      </c>
      <c r="Z30" s="4">
        <f t="shared" si="18"/>
        <v>59.227999999999824</v>
      </c>
      <c r="AA30" s="4">
        <f t="shared" si="18"/>
        <v>68.237999999999801</v>
      </c>
      <c r="AB30" s="4">
        <f t="shared" si="18"/>
        <v>83.288666666666415</v>
      </c>
      <c r="AC30" s="4">
        <f t="shared" si="18"/>
        <v>102.53266666666636</v>
      </c>
      <c r="AD30" s="4">
        <f t="shared" si="18"/>
        <v>127.25066666666629</v>
      </c>
      <c r="AE30" s="4">
        <f t="shared" si="18"/>
        <v>130.20866666666629</v>
      </c>
      <c r="AF30" s="4">
        <f t="shared" si="18"/>
        <v>147.89999999999955</v>
      </c>
      <c r="AG30" s="4">
        <f t="shared" si="18"/>
        <v>105.68333333333302</v>
      </c>
      <c r="AH30" s="4">
        <f t="shared" si="18"/>
        <v>86.484666666666413</v>
      </c>
      <c r="AI30" s="4">
        <f t="shared" si="18"/>
        <v>76.82866666666645</v>
      </c>
      <c r="AJ30" s="4">
        <f t="shared" si="18"/>
        <v>71.116666666666461</v>
      </c>
      <c r="AK30" s="4">
        <f t="shared" si="18"/>
        <v>72.102666666666451</v>
      </c>
      <c r="AL30" s="4">
        <f t="shared" si="18"/>
        <v>68.747999999999791</v>
      </c>
      <c r="AM30" s="4">
        <f t="shared" si="18"/>
        <v>74.482666666666447</v>
      </c>
      <c r="AN30" s="4">
        <f t="shared" si="18"/>
        <v>72.929999999999779</v>
      </c>
      <c r="AO30" s="4">
        <f t="shared" si="18"/>
        <v>84.002666666666428</v>
      </c>
      <c r="AP30" s="4">
        <f t="shared" si="18"/>
        <v>100.66266666666635</v>
      </c>
      <c r="AQ30" s="4">
        <f t="shared" si="18"/>
        <v>109.16266666666634</v>
      </c>
      <c r="AR30" s="4">
        <f t="shared" si="18"/>
        <v>113.35599999999965</v>
      </c>
      <c r="AS30" s="4">
        <f t="shared" si="18"/>
        <v>109.55933333333302</v>
      </c>
      <c r="AT30" s="4">
        <f t="shared" si="18"/>
        <v>98.996666666666371</v>
      </c>
      <c r="AU30" s="4">
        <f t="shared" si="18"/>
        <v>99.619999999999706</v>
      </c>
      <c r="AV30" s="4">
        <f t="shared" si="18"/>
        <v>111.45199999999967</v>
      </c>
      <c r="AW30" s="4">
        <f t="shared" si="18"/>
        <v>115.93999999999966</v>
      </c>
      <c r="AX30" s="4">
        <f t="shared" si="18"/>
        <v>119.73666666666632</v>
      </c>
      <c r="AY30" s="4">
        <f t="shared" si="18"/>
        <v>125.32399999999963</v>
      </c>
      <c r="AZ30" s="4">
        <f t="shared" si="18"/>
        <v>154.69999999999953</v>
      </c>
      <c r="BA30" s="4">
        <f t="shared" si="18"/>
        <v>230.34999999999931</v>
      </c>
      <c r="BB30" s="4">
        <f t="shared" si="18"/>
        <v>397.02933333333215</v>
      </c>
      <c r="BC30" s="4">
        <f t="shared" si="18"/>
        <v>570.07799999999827</v>
      </c>
      <c r="BD30" s="4">
        <f t="shared" si="18"/>
        <v>682.8106666666647</v>
      </c>
      <c r="BE30" s="4">
        <f t="shared" si="18"/>
        <v>524.0873333333318</v>
      </c>
      <c r="BF30" s="4">
        <f t="shared" si="18"/>
        <v>388.32533333333214</v>
      </c>
      <c r="BG30" s="4">
        <f t="shared" si="18"/>
        <v>379.56466666666557</v>
      </c>
      <c r="BH30" s="4">
        <f t="shared" si="18"/>
        <v>431.89066666666537</v>
      </c>
      <c r="BI30" s="4">
        <f t="shared" si="18"/>
        <v>508.92333333333181</v>
      </c>
      <c r="BJ30" s="4">
        <f t="shared" si="18"/>
        <v>519.88266666666516</v>
      </c>
      <c r="BK30" s="4">
        <f t="shared" si="18"/>
        <v>573.13799999999833</v>
      </c>
      <c r="BL30" s="4">
        <f t="shared" si="18"/>
        <v>784.70866666666427</v>
      </c>
      <c r="BM30" s="4">
        <f t="shared" si="18"/>
        <v>1243.1873333333297</v>
      </c>
      <c r="BN30" s="4">
        <f t="shared" si="18"/>
        <v>1583.2666666666619</v>
      </c>
      <c r="BO30" s="4">
        <f t="shared" ref="BO30:CR30" si="19">+BO27*1.13333333333333</f>
        <v>1693.4379999999951</v>
      </c>
      <c r="BP30" s="4">
        <f t="shared" si="19"/>
        <v>1877.3439999999944</v>
      </c>
      <c r="BQ30" s="4">
        <f t="shared" si="19"/>
        <v>1237.5319999999963</v>
      </c>
      <c r="BR30" s="4">
        <f t="shared" si="19"/>
        <v>1008.7686666666638</v>
      </c>
      <c r="BS30" s="4">
        <f t="shared" si="19"/>
        <v>929.45799999999724</v>
      </c>
      <c r="BT30" s="4">
        <f t="shared" si="19"/>
        <v>908.75199999999734</v>
      </c>
      <c r="BU30" s="4">
        <f t="shared" si="19"/>
        <v>919.6433333333307</v>
      </c>
      <c r="BV30" s="4">
        <f t="shared" si="19"/>
        <v>953.42799999999716</v>
      </c>
      <c r="BW30" s="4">
        <f t="shared" si="19"/>
        <v>991.67799999999704</v>
      </c>
      <c r="BX30" s="4">
        <f t="shared" si="19"/>
        <v>1026.9473333333303</v>
      </c>
      <c r="BY30" s="4">
        <f t="shared" si="19"/>
        <v>1115.4606666666634</v>
      </c>
      <c r="BZ30" s="4">
        <f t="shared" si="19"/>
        <v>1258.3399999999963</v>
      </c>
      <c r="CA30" s="4">
        <f t="shared" si="19"/>
        <v>1406.2966666666623</v>
      </c>
      <c r="CB30" s="4">
        <f t="shared" si="19"/>
        <v>1424.5659999999957</v>
      </c>
      <c r="CC30" s="4">
        <f t="shared" si="19"/>
        <v>1274.8186666666627</v>
      </c>
      <c r="CD30" s="4">
        <f t="shared" si="19"/>
        <v>1104.6259999999966</v>
      </c>
      <c r="CE30" s="4">
        <f t="shared" si="19"/>
        <v>1100.5233333333301</v>
      </c>
      <c r="CF30" s="4">
        <f t="shared" si="19"/>
        <v>1149.4039999999966</v>
      </c>
      <c r="CG30" s="4">
        <f t="shared" si="19"/>
        <v>1202.0133333333297</v>
      </c>
      <c r="CH30" s="4">
        <f t="shared" si="19"/>
        <v>1213.9133333333295</v>
      </c>
      <c r="CI30" s="4">
        <f t="shared" si="19"/>
        <v>1283.3413333333294</v>
      </c>
      <c r="CJ30" s="4">
        <f t="shared" si="19"/>
        <v>1407.225999999996</v>
      </c>
      <c r="CK30" s="4">
        <f t="shared" si="19"/>
        <v>1831.115333333328</v>
      </c>
      <c r="CL30" s="4">
        <f t="shared" si="19"/>
        <v>1990.4506666666607</v>
      </c>
      <c r="CM30" s="4">
        <f t="shared" si="19"/>
        <v>2159.0793333333268</v>
      </c>
      <c r="CN30" s="4">
        <f t="shared" si="19"/>
        <v>2364.5299999999929</v>
      </c>
      <c r="CO30" s="4">
        <f t="shared" si="19"/>
        <v>1787.969333333328</v>
      </c>
      <c r="CP30" s="4">
        <f t="shared" si="19"/>
        <v>1450.4966666666623</v>
      </c>
      <c r="CQ30" s="4">
        <f t="shared" si="19"/>
        <v>1339.1806666666628</v>
      </c>
      <c r="CR30" s="4">
        <f t="shared" si="19"/>
        <v>1327.7793333333293</v>
      </c>
    </row>
    <row r="31" spans="1:96">
      <c r="A31" t="s">
        <v>98</v>
      </c>
      <c r="B31" s="4">
        <f>+B29*0.888157894736842</f>
        <v>44.665460526315783</v>
      </c>
      <c r="C31" s="4">
        <f t="shared" ref="C31:BN31" si="20">+C29*0.888157894736842</f>
        <v>50.767105263157887</v>
      </c>
      <c r="D31" s="4">
        <f t="shared" si="20"/>
        <v>55.145723684210523</v>
      </c>
      <c r="E31" s="4">
        <f t="shared" si="20"/>
        <v>62.073355263157893</v>
      </c>
      <c r="F31" s="4">
        <f t="shared" si="20"/>
        <v>61.176315789473676</v>
      </c>
      <c r="G31" s="4">
        <f t="shared" si="20"/>
        <v>52.578947368421048</v>
      </c>
      <c r="H31" s="4">
        <f t="shared" si="20"/>
        <v>49.852302631578944</v>
      </c>
      <c r="I31" s="4">
        <f t="shared" si="20"/>
        <v>49.896710526315786</v>
      </c>
      <c r="J31" s="4">
        <f t="shared" si="20"/>
        <v>49.594736842105263</v>
      </c>
      <c r="K31" s="4">
        <f t="shared" si="20"/>
        <v>50.749342105263153</v>
      </c>
      <c r="L31" s="4">
        <f t="shared" si="20"/>
        <v>52.392434210526311</v>
      </c>
      <c r="M31" s="4">
        <f t="shared" si="20"/>
        <v>53.937828947368416</v>
      </c>
      <c r="N31" s="4">
        <f t="shared" si="20"/>
        <v>56.762171052631572</v>
      </c>
      <c r="O31" s="4">
        <f t="shared" si="20"/>
        <v>60.989802631578947</v>
      </c>
      <c r="P31" s="4">
        <f t="shared" si="20"/>
        <v>64.826644736842098</v>
      </c>
      <c r="Q31" s="4">
        <f t="shared" si="20"/>
        <v>67.793092105263156</v>
      </c>
      <c r="R31" s="4">
        <f t="shared" si="20"/>
        <v>68.361513157894734</v>
      </c>
      <c r="S31" s="4">
        <f t="shared" si="20"/>
        <v>69.24967105263157</v>
      </c>
      <c r="T31" s="4">
        <f t="shared" si="20"/>
        <v>72.908881578947373</v>
      </c>
      <c r="U31" s="4">
        <f t="shared" si="20"/>
        <v>75.209210526315786</v>
      </c>
      <c r="V31" s="4">
        <f t="shared" si="20"/>
        <v>74.916118421052616</v>
      </c>
      <c r="W31" s="4">
        <f t="shared" si="20"/>
        <v>77.474013157894731</v>
      </c>
      <c r="X31" s="4">
        <f t="shared" si="20"/>
        <v>85.085526315789465</v>
      </c>
      <c r="Y31" s="4">
        <f t="shared" si="20"/>
        <v>102.20921052631579</v>
      </c>
      <c r="Z31" s="4">
        <f t="shared" si="20"/>
        <v>134.55592105263156</v>
      </c>
      <c r="AA31" s="4">
        <f t="shared" si="20"/>
        <v>153.43815789473683</v>
      </c>
      <c r="AB31" s="4">
        <f t="shared" si="20"/>
        <v>164.80657894736842</v>
      </c>
      <c r="AC31" s="4">
        <f t="shared" si="20"/>
        <v>178.86611842105262</v>
      </c>
      <c r="AD31" s="4">
        <f t="shared" si="20"/>
        <v>173.98124999999996</v>
      </c>
      <c r="AE31" s="4">
        <f t="shared" si="20"/>
        <v>163.67861842105262</v>
      </c>
      <c r="AF31" s="4">
        <f t="shared" si="20"/>
        <v>151.38651315789471</v>
      </c>
      <c r="AG31" s="4">
        <f t="shared" si="20"/>
        <v>146.30624999999998</v>
      </c>
      <c r="AH31" s="4">
        <f t="shared" si="20"/>
        <v>146.34177631578947</v>
      </c>
      <c r="AI31" s="4">
        <f t="shared" si="20"/>
        <v>147.63848684210524</v>
      </c>
      <c r="AJ31" s="4">
        <f t="shared" si="20"/>
        <v>144.83190789473682</v>
      </c>
      <c r="AK31" s="4">
        <f t="shared" si="20"/>
        <v>147.43421052631578</v>
      </c>
      <c r="AL31" s="4">
        <f t="shared" si="20"/>
        <v>152.8253289473684</v>
      </c>
      <c r="AM31" s="4">
        <f t="shared" si="20"/>
        <v>161.15624999999997</v>
      </c>
      <c r="AN31" s="4">
        <f t="shared" si="20"/>
        <v>164.06052631578945</v>
      </c>
      <c r="AO31" s="4">
        <f t="shared" si="20"/>
        <v>178.76842105263157</v>
      </c>
      <c r="AP31" s="4">
        <f t="shared" si="20"/>
        <v>198.22796052631577</v>
      </c>
      <c r="AQ31" s="4">
        <f t="shared" si="20"/>
        <v>196.70921052631576</v>
      </c>
      <c r="AR31" s="4">
        <f t="shared" si="20"/>
        <v>202.43782894736842</v>
      </c>
      <c r="AS31" s="4">
        <f t="shared" si="20"/>
        <v>211.64802631578948</v>
      </c>
      <c r="AT31" s="4">
        <f t="shared" si="20"/>
        <v>217.27894736842103</v>
      </c>
      <c r="AU31" s="4">
        <f t="shared" si="20"/>
        <v>238.34605263157894</v>
      </c>
      <c r="AV31" s="4">
        <f t="shared" si="20"/>
        <v>258.41842105263152</v>
      </c>
      <c r="AW31" s="4">
        <f t="shared" si="20"/>
        <v>291.60888157894732</v>
      </c>
      <c r="AX31" s="4">
        <f t="shared" si="20"/>
        <v>333.13914473684207</v>
      </c>
      <c r="AY31" s="4">
        <f t="shared" si="20"/>
        <v>375.84177631578945</v>
      </c>
      <c r="AZ31" s="4">
        <f t="shared" si="20"/>
        <v>423.74901315789469</v>
      </c>
      <c r="BA31" s="4">
        <f t="shared" si="20"/>
        <v>554.9299342105262</v>
      </c>
      <c r="BB31" s="4">
        <f t="shared" si="20"/>
        <v>580.19802631578943</v>
      </c>
      <c r="BC31" s="4">
        <f t="shared" si="20"/>
        <v>533.19671052631577</v>
      </c>
      <c r="BD31" s="4">
        <f t="shared" si="20"/>
        <v>521.77499999999998</v>
      </c>
      <c r="BE31" s="4">
        <f t="shared" si="20"/>
        <v>537.10460526315785</v>
      </c>
      <c r="BF31" s="4">
        <f t="shared" si="20"/>
        <v>539.36052631578946</v>
      </c>
      <c r="BG31" s="4">
        <f t="shared" si="20"/>
        <v>581.13059210526308</v>
      </c>
      <c r="BH31" s="4">
        <f t="shared" si="20"/>
        <v>640.53947368421052</v>
      </c>
      <c r="BI31" s="4">
        <f t="shared" si="20"/>
        <v>739.36480263157887</v>
      </c>
      <c r="BJ31" s="4">
        <f t="shared" si="20"/>
        <v>807.72631578947369</v>
      </c>
      <c r="BK31" s="4">
        <f t="shared" si="20"/>
        <v>947.47796052631566</v>
      </c>
      <c r="BL31" s="4">
        <f t="shared" si="20"/>
        <v>1187.351644736842</v>
      </c>
      <c r="BM31" s="4">
        <f t="shared" si="20"/>
        <v>1443.3542763157893</v>
      </c>
      <c r="BN31" s="4">
        <f t="shared" si="20"/>
        <v>1739.4749999999999</v>
      </c>
      <c r="BO31" s="4">
        <f t="shared" ref="BO31:CR31" si="21">+BO29*0.888157894736842</f>
        <v>1699.5700657894736</v>
      </c>
      <c r="BP31" s="4">
        <f t="shared" si="21"/>
        <v>1776.7243421052631</v>
      </c>
      <c r="BQ31" s="4">
        <f t="shared" si="21"/>
        <v>1822.029276315789</v>
      </c>
      <c r="BR31" s="4">
        <f t="shared" si="21"/>
        <v>1848.6740131578945</v>
      </c>
      <c r="BS31" s="4">
        <f t="shared" si="21"/>
        <v>1882.7615131578946</v>
      </c>
      <c r="BT31" s="4">
        <f t="shared" si="21"/>
        <v>1901.0930921052627</v>
      </c>
      <c r="BU31" s="4">
        <f t="shared" si="21"/>
        <v>1985.725657894737</v>
      </c>
      <c r="BV31" s="4">
        <f t="shared" si="21"/>
        <v>2036.8480263157894</v>
      </c>
      <c r="BW31" s="4">
        <f t="shared" si="21"/>
        <v>2137.5740131578946</v>
      </c>
      <c r="BX31" s="4">
        <f t="shared" si="21"/>
        <v>2137.8759868421052</v>
      </c>
      <c r="BY31" s="4">
        <f t="shared" si="21"/>
        <v>2148.6848684210527</v>
      </c>
      <c r="BZ31" s="4">
        <f t="shared" si="21"/>
        <v>2144.1907894736837</v>
      </c>
      <c r="CA31" s="4">
        <f t="shared" si="21"/>
        <v>2095.0756578947367</v>
      </c>
      <c r="CB31" s="4">
        <f t="shared" si="21"/>
        <v>2144.5815789473681</v>
      </c>
      <c r="CC31" s="4">
        <f t="shared" si="21"/>
        <v>2080.5453947368419</v>
      </c>
      <c r="CD31" s="4">
        <f t="shared" si="21"/>
        <v>2089.8266447368419</v>
      </c>
      <c r="CE31" s="4">
        <f t="shared" si="21"/>
        <v>2123.248026315789</v>
      </c>
      <c r="CF31" s="4">
        <f t="shared" si="21"/>
        <v>2209.3016447368423</v>
      </c>
      <c r="CG31" s="4">
        <f t="shared" si="21"/>
        <v>2311.0490131578945</v>
      </c>
      <c r="CH31" s="4">
        <f t="shared" si="21"/>
        <v>2567.0427631578946</v>
      </c>
      <c r="CI31" s="4">
        <f t="shared" si="21"/>
        <v>3058.7269736842104</v>
      </c>
      <c r="CJ31" s="4">
        <f t="shared" si="21"/>
        <v>3560.9003289473681</v>
      </c>
      <c r="CK31" s="4">
        <f t="shared" si="21"/>
        <v>4222.8266447368424</v>
      </c>
      <c r="CL31" s="4">
        <f t="shared" si="21"/>
        <v>4131.2842105263162</v>
      </c>
      <c r="CM31" s="4">
        <f t="shared" si="21"/>
        <v>3617.2184210526311</v>
      </c>
      <c r="CN31" s="4">
        <f t="shared" si="21"/>
        <v>3526.8217105263157</v>
      </c>
      <c r="CO31" s="4">
        <f t="shared" si="21"/>
        <v>3535.0105263157889</v>
      </c>
      <c r="CP31" s="4">
        <f t="shared" si="21"/>
        <v>3536.9467105263157</v>
      </c>
      <c r="CQ31" s="4">
        <f t="shared" si="21"/>
        <v>3610.6638157894736</v>
      </c>
      <c r="CR31" s="4">
        <f t="shared" si="21"/>
        <v>3554.1236842105259</v>
      </c>
    </row>
    <row r="32" spans="1:96">
      <c r="A32" t="s">
        <v>99</v>
      </c>
      <c r="B32" s="4">
        <v>75.62</v>
      </c>
      <c r="C32" s="4">
        <v>80.680000000000007</v>
      </c>
      <c r="D32" s="4">
        <v>82.56</v>
      </c>
      <c r="E32" s="4">
        <v>84.3</v>
      </c>
      <c r="F32" s="4">
        <v>86.42</v>
      </c>
      <c r="G32" s="4">
        <v>87.78</v>
      </c>
      <c r="H32" s="4">
        <v>93.98</v>
      </c>
      <c r="I32" s="4">
        <v>96.6</v>
      </c>
      <c r="J32" s="4">
        <v>96.94</v>
      </c>
      <c r="K32" s="5">
        <v>98.58</v>
      </c>
      <c r="L32" s="5">
        <v>99.9</v>
      </c>
      <c r="M32" s="5">
        <v>102.9</v>
      </c>
      <c r="N32" s="5">
        <v>104.12</v>
      </c>
      <c r="O32" s="5">
        <v>106.18</v>
      </c>
      <c r="P32" s="5">
        <v>107.58</v>
      </c>
      <c r="Q32" s="5">
        <v>113.84</v>
      </c>
      <c r="R32" s="5">
        <v>117.7</v>
      </c>
      <c r="S32" s="6">
        <v>118.3</v>
      </c>
      <c r="T32" s="7">
        <v>119.58</v>
      </c>
      <c r="U32" s="7">
        <v>118.2</v>
      </c>
      <c r="V32" s="7">
        <v>116.14</v>
      </c>
      <c r="W32" s="7">
        <v>119.08</v>
      </c>
      <c r="X32" s="7">
        <v>120.16</v>
      </c>
      <c r="Y32" s="7">
        <v>120.74</v>
      </c>
      <c r="Z32" s="7">
        <v>120.78</v>
      </c>
      <c r="AA32" s="7">
        <v>123.08</v>
      </c>
      <c r="AB32" s="7">
        <v>121.74</v>
      </c>
      <c r="AC32" s="7">
        <v>123.02</v>
      </c>
      <c r="AD32" s="8">
        <v>128.08000000000001</v>
      </c>
      <c r="AE32" s="8">
        <v>133.72</v>
      </c>
      <c r="AF32" s="8">
        <v>137.74</v>
      </c>
      <c r="AG32" s="8">
        <v>138.9</v>
      </c>
      <c r="AH32" s="8">
        <v>142.32</v>
      </c>
      <c r="AI32" s="8">
        <v>147.38</v>
      </c>
      <c r="AJ32" s="8">
        <v>150.38</v>
      </c>
      <c r="AK32" s="8">
        <v>150.68</v>
      </c>
      <c r="AL32" s="8">
        <v>155.04</v>
      </c>
      <c r="AM32" s="8">
        <v>153.9</v>
      </c>
      <c r="AN32" s="8">
        <v>156.88</v>
      </c>
      <c r="AO32" s="8">
        <v>161.19999999999999</v>
      </c>
      <c r="AP32" s="8">
        <v>168.4</v>
      </c>
      <c r="AQ32" s="8">
        <v>186.36</v>
      </c>
      <c r="AR32" s="8">
        <v>201.82</v>
      </c>
      <c r="AS32" s="8">
        <v>216.24</v>
      </c>
      <c r="AT32" s="8">
        <v>244.12</v>
      </c>
      <c r="AU32" s="8">
        <v>279.08</v>
      </c>
      <c r="AV32" s="8">
        <v>304.7</v>
      </c>
      <c r="AW32" s="8">
        <v>325.16000000000003</v>
      </c>
      <c r="AX32" s="8">
        <v>354.18</v>
      </c>
      <c r="AY32" s="8">
        <v>368.7</v>
      </c>
      <c r="AZ32" s="8">
        <v>383.82</v>
      </c>
      <c r="BA32" s="8">
        <v>415.9</v>
      </c>
      <c r="BB32" s="8">
        <v>442.72</v>
      </c>
      <c r="BC32" s="8">
        <v>471.34</v>
      </c>
      <c r="BD32" s="8">
        <v>495.3</v>
      </c>
      <c r="BE32" s="8">
        <v>556.24</v>
      </c>
      <c r="BF32" s="8">
        <v>616.05999999999995</v>
      </c>
      <c r="BG32" s="8">
        <v>654.02</v>
      </c>
      <c r="BH32" s="8">
        <v>694.06</v>
      </c>
      <c r="BI32" s="8">
        <v>782.72</v>
      </c>
      <c r="BJ32" s="8">
        <v>1033.8800000000001</v>
      </c>
      <c r="BK32" s="8">
        <v>1520.88</v>
      </c>
      <c r="BL32" s="8">
        <v>1983.32</v>
      </c>
      <c r="BM32" s="8">
        <v>2250.04</v>
      </c>
      <c r="BN32" s="8">
        <v>2520.44</v>
      </c>
      <c r="BO32" s="8">
        <v>2609.2399999999998</v>
      </c>
      <c r="BP32" s="8">
        <v>2718.48</v>
      </c>
      <c r="BQ32" s="8">
        <v>2799.4</v>
      </c>
      <c r="BR32" s="8">
        <v>2742.64</v>
      </c>
      <c r="BS32" s="8">
        <v>2793</v>
      </c>
      <c r="BT32" s="8">
        <v>2862.68</v>
      </c>
      <c r="BU32" s="8">
        <v>2788.46</v>
      </c>
      <c r="BV32" s="8">
        <v>2749.46</v>
      </c>
      <c r="BW32" s="8">
        <v>2765.62</v>
      </c>
      <c r="BX32" s="8">
        <v>2785.46</v>
      </c>
      <c r="BY32" s="8">
        <v>2824.36</v>
      </c>
      <c r="BZ32" s="8">
        <v>2830.84</v>
      </c>
      <c r="CA32" s="8">
        <v>2778.02</v>
      </c>
      <c r="CB32" s="8">
        <v>2874.24</v>
      </c>
      <c r="CC32" s="8">
        <v>2922.78</v>
      </c>
      <c r="CD32" s="8">
        <v>2927.3</v>
      </c>
      <c r="CE32" s="8">
        <v>2946.32</v>
      </c>
      <c r="CF32" s="8">
        <v>2984.8</v>
      </c>
      <c r="CG32" s="8">
        <v>2998.48</v>
      </c>
      <c r="CH32" s="8">
        <v>3032.44</v>
      </c>
      <c r="CI32" s="8">
        <v>3069.82</v>
      </c>
      <c r="CJ32" s="8">
        <v>3098.36</v>
      </c>
      <c r="CK32" s="8">
        <v>3161.28</v>
      </c>
      <c r="CL32" s="8">
        <v>3146.76</v>
      </c>
      <c r="CM32" s="8">
        <v>3220.82</v>
      </c>
      <c r="CN32" s="8">
        <v>3223.3</v>
      </c>
      <c r="CO32" s="8">
        <v>3258.26</v>
      </c>
      <c r="CP32" s="8">
        <v>3370.1</v>
      </c>
      <c r="CQ32" s="8">
        <v>3389.66</v>
      </c>
      <c r="CR32" s="8">
        <v>3543.04</v>
      </c>
    </row>
    <row r="33" spans="1:96">
      <c r="A33" t="s">
        <v>100</v>
      </c>
      <c r="B33" s="4">
        <v>35.53</v>
      </c>
      <c r="C33" s="4">
        <v>37.65</v>
      </c>
      <c r="D33" s="4">
        <v>38.61</v>
      </c>
      <c r="E33" s="4">
        <v>39.39</v>
      </c>
      <c r="F33" s="4">
        <v>40.6</v>
      </c>
      <c r="G33" s="4">
        <v>40.94</v>
      </c>
      <c r="H33" s="4">
        <v>42.2</v>
      </c>
      <c r="I33" s="4">
        <v>44.27</v>
      </c>
      <c r="J33" s="4">
        <v>45.36</v>
      </c>
      <c r="K33" s="5">
        <v>45.83</v>
      </c>
      <c r="L33" s="5">
        <v>48.48</v>
      </c>
      <c r="M33" s="5">
        <v>49.5</v>
      </c>
      <c r="N33" s="5">
        <v>50.38</v>
      </c>
      <c r="O33" s="5">
        <v>54.75</v>
      </c>
      <c r="P33" s="5">
        <v>57.46</v>
      </c>
      <c r="Q33" s="5">
        <v>63.84</v>
      </c>
      <c r="R33" s="5">
        <v>66.040000000000006</v>
      </c>
      <c r="S33" s="6">
        <v>67.75</v>
      </c>
      <c r="T33" s="7">
        <v>70.13</v>
      </c>
      <c r="U33" s="7">
        <v>70.22</v>
      </c>
      <c r="V33" s="7">
        <v>72.56</v>
      </c>
      <c r="W33" s="7">
        <v>73.25</v>
      </c>
      <c r="X33" s="7">
        <v>73.8</v>
      </c>
      <c r="Y33" s="7">
        <v>75.75</v>
      </c>
      <c r="Z33" s="7">
        <v>80.55</v>
      </c>
      <c r="AA33" s="7">
        <v>80.900000000000006</v>
      </c>
      <c r="AB33" s="7">
        <v>81.760000000000005</v>
      </c>
      <c r="AC33" s="7">
        <v>81.53</v>
      </c>
      <c r="AD33" s="8">
        <v>81.61</v>
      </c>
      <c r="AE33" s="8">
        <v>84.36</v>
      </c>
      <c r="AF33" s="8">
        <v>96.38</v>
      </c>
      <c r="AG33" s="8">
        <v>108.97</v>
      </c>
      <c r="AH33" s="8">
        <v>111.68</v>
      </c>
      <c r="AI33" s="8">
        <v>111.74</v>
      </c>
      <c r="AJ33" s="8">
        <v>117.36</v>
      </c>
      <c r="AK33" s="8">
        <v>115.14</v>
      </c>
      <c r="AL33" s="8">
        <v>116.74</v>
      </c>
      <c r="AM33" s="8">
        <v>114.43</v>
      </c>
      <c r="AN33" s="8">
        <v>114.82</v>
      </c>
      <c r="AO33" s="8">
        <v>120.6</v>
      </c>
      <c r="AP33" s="8">
        <v>120.62</v>
      </c>
      <c r="AQ33" s="8">
        <v>124.5</v>
      </c>
      <c r="AR33" s="8">
        <v>127.08</v>
      </c>
      <c r="AS33" s="8">
        <v>131.18</v>
      </c>
      <c r="AT33" s="8">
        <v>136.94999999999999</v>
      </c>
      <c r="AU33" s="8">
        <v>137.75</v>
      </c>
      <c r="AV33" s="8">
        <v>143.83000000000001</v>
      </c>
      <c r="AW33" s="8">
        <v>154.33000000000001</v>
      </c>
      <c r="AX33" s="8">
        <v>167.76</v>
      </c>
      <c r="AY33" s="8">
        <v>173.27</v>
      </c>
      <c r="AZ33" s="8">
        <v>183.52</v>
      </c>
      <c r="BA33" s="8">
        <v>198.02</v>
      </c>
      <c r="BB33" s="8">
        <v>226.87</v>
      </c>
      <c r="BC33" s="8">
        <v>242.47</v>
      </c>
      <c r="BD33" s="8">
        <v>269.86</v>
      </c>
      <c r="BE33" s="8">
        <v>318.44</v>
      </c>
      <c r="BF33" s="8">
        <v>358.85</v>
      </c>
      <c r="BG33" s="8">
        <v>403.18</v>
      </c>
      <c r="BH33" s="8">
        <v>460.4</v>
      </c>
      <c r="BI33" s="8">
        <v>582.04</v>
      </c>
      <c r="BJ33" s="8">
        <v>789.18</v>
      </c>
      <c r="BK33" s="8">
        <v>1020.69</v>
      </c>
      <c r="BL33" s="8">
        <v>1557.53</v>
      </c>
      <c r="BM33" s="8">
        <v>2046.61</v>
      </c>
      <c r="BN33" s="8">
        <v>2355.31</v>
      </c>
      <c r="BO33" s="8">
        <v>2445.35</v>
      </c>
      <c r="BP33" s="8">
        <v>2422.83</v>
      </c>
      <c r="BQ33" s="8">
        <v>2351.11</v>
      </c>
      <c r="BR33" s="8">
        <v>2336.91</v>
      </c>
      <c r="BS33" s="8">
        <v>2301.88</v>
      </c>
      <c r="BT33" s="8">
        <v>2288.2600000000002</v>
      </c>
      <c r="BU33" s="8">
        <v>2262</v>
      </c>
      <c r="BV33" s="8">
        <v>2285.88</v>
      </c>
      <c r="BW33" s="8">
        <v>2273.69</v>
      </c>
      <c r="BX33" s="8">
        <v>2190.58</v>
      </c>
      <c r="BY33" s="8">
        <v>2110.7600000000002</v>
      </c>
      <c r="BZ33" s="8">
        <v>1937.98</v>
      </c>
      <c r="CA33" s="8">
        <v>1920</v>
      </c>
      <c r="CB33" s="8">
        <v>1851.68</v>
      </c>
      <c r="CC33" s="8">
        <v>1860.08</v>
      </c>
      <c r="CD33" s="8">
        <v>1844.34</v>
      </c>
      <c r="CE33" s="8">
        <v>1848.08</v>
      </c>
      <c r="CF33" s="8">
        <v>1811.63</v>
      </c>
      <c r="CG33" s="8">
        <v>1745.29</v>
      </c>
      <c r="CH33" s="8">
        <v>1702.33</v>
      </c>
      <c r="CI33" s="8">
        <v>1684.46</v>
      </c>
      <c r="CJ33" s="8">
        <v>1701.36</v>
      </c>
      <c r="CK33" s="8">
        <v>1711.31</v>
      </c>
      <c r="CL33" s="8">
        <v>1739.93</v>
      </c>
      <c r="CM33" s="8">
        <v>1719.46</v>
      </c>
      <c r="CN33" s="8">
        <v>1713.73</v>
      </c>
      <c r="CO33" s="8">
        <v>1750.9</v>
      </c>
      <c r="CP33" s="8">
        <v>1783.17</v>
      </c>
      <c r="CQ33" s="8">
        <v>1838.91</v>
      </c>
      <c r="CR33" s="8">
        <v>1858.04</v>
      </c>
    </row>
    <row r="34" spans="1:96">
      <c r="A34" t="s">
        <v>101</v>
      </c>
      <c r="B34" s="4">
        <v>29.19</v>
      </c>
      <c r="C34" s="4">
        <v>30.23</v>
      </c>
      <c r="D34" s="4">
        <v>30.32</v>
      </c>
      <c r="E34" s="4">
        <v>30.81</v>
      </c>
      <c r="F34" s="4">
        <v>31.28</v>
      </c>
      <c r="G34" s="4">
        <v>31.56</v>
      </c>
      <c r="H34" s="4">
        <v>31.69</v>
      </c>
      <c r="I34" s="4">
        <v>33.15</v>
      </c>
      <c r="J34" s="4">
        <v>34.299999999999997</v>
      </c>
      <c r="K34" s="5">
        <v>34.85</v>
      </c>
      <c r="L34" s="5">
        <v>36.04</v>
      </c>
      <c r="M34" s="5">
        <v>38.340000000000003</v>
      </c>
      <c r="N34" s="5">
        <v>38.9</v>
      </c>
      <c r="O34" s="5">
        <v>39.479999999999997</v>
      </c>
      <c r="P34" s="5">
        <v>40.24</v>
      </c>
      <c r="Q34" s="5">
        <v>42.07</v>
      </c>
      <c r="R34" s="5">
        <v>43.62</v>
      </c>
      <c r="S34" s="6">
        <v>43.43</v>
      </c>
      <c r="T34" s="7">
        <v>43.7</v>
      </c>
      <c r="U34" s="7">
        <v>44.22</v>
      </c>
      <c r="V34" s="7">
        <v>44.41</v>
      </c>
      <c r="W34" s="7">
        <v>45.62</v>
      </c>
      <c r="X34" s="7">
        <v>46.04</v>
      </c>
      <c r="Y34" s="7">
        <v>46.12</v>
      </c>
      <c r="Z34" s="7">
        <v>47.66</v>
      </c>
      <c r="AA34" s="7">
        <v>45.17</v>
      </c>
      <c r="AB34" s="7">
        <v>42.55</v>
      </c>
      <c r="AC34" s="7">
        <v>43.62</v>
      </c>
      <c r="AD34" s="8">
        <v>45.06</v>
      </c>
      <c r="AE34" s="8">
        <v>45.12</v>
      </c>
      <c r="AF34" s="8">
        <v>46.4</v>
      </c>
      <c r="AG34" s="8">
        <v>49.51</v>
      </c>
      <c r="AH34" s="8">
        <v>50.94</v>
      </c>
      <c r="AI34" s="8">
        <v>52.71</v>
      </c>
      <c r="AJ34" s="8">
        <v>53.55</v>
      </c>
      <c r="AK34" s="8">
        <v>56.83</v>
      </c>
      <c r="AL34" s="8">
        <v>59.29</v>
      </c>
      <c r="AM34" s="8">
        <v>59.37</v>
      </c>
      <c r="AN34" s="8">
        <v>59.46</v>
      </c>
      <c r="AO34" s="8">
        <v>62.82</v>
      </c>
      <c r="AP34" s="8">
        <v>65.55</v>
      </c>
      <c r="AQ34" s="8">
        <v>74.22</v>
      </c>
      <c r="AR34" s="8">
        <v>86.18</v>
      </c>
      <c r="AS34" s="8">
        <v>95.25</v>
      </c>
      <c r="AT34" s="8">
        <v>95.24</v>
      </c>
      <c r="AU34" s="8">
        <v>107.06</v>
      </c>
      <c r="AV34" s="8">
        <v>114.41</v>
      </c>
      <c r="AW34" s="8">
        <v>123.46</v>
      </c>
      <c r="AX34" s="8">
        <v>132.37</v>
      </c>
      <c r="AY34" s="8">
        <v>140.69999999999999</v>
      </c>
      <c r="AZ34" s="8">
        <v>146.91</v>
      </c>
      <c r="BA34" s="8">
        <v>160.13999999999999</v>
      </c>
      <c r="BB34" s="8">
        <v>172.29</v>
      </c>
      <c r="BC34" s="8">
        <v>176.24</v>
      </c>
      <c r="BD34" s="8">
        <v>185.36</v>
      </c>
      <c r="BE34" s="8">
        <v>193.13</v>
      </c>
      <c r="BF34" s="8">
        <v>196.65</v>
      </c>
      <c r="BG34" s="8">
        <v>207.44</v>
      </c>
      <c r="BH34" s="8">
        <v>222.91</v>
      </c>
      <c r="BI34" s="8">
        <v>241.22</v>
      </c>
      <c r="BJ34" s="8">
        <v>269.52</v>
      </c>
      <c r="BK34" s="8">
        <v>323.26</v>
      </c>
      <c r="BL34" s="8">
        <v>492.38</v>
      </c>
      <c r="BM34" s="8">
        <v>665.79</v>
      </c>
      <c r="BN34" s="8">
        <v>741.12</v>
      </c>
      <c r="BO34" s="8">
        <v>818.97</v>
      </c>
      <c r="BP34" s="8">
        <v>816.97</v>
      </c>
      <c r="BQ34" s="8">
        <v>786.85</v>
      </c>
      <c r="BR34" s="8">
        <v>828.26</v>
      </c>
      <c r="BS34" s="8">
        <v>851.77</v>
      </c>
      <c r="BT34" s="8">
        <v>829.47</v>
      </c>
      <c r="BU34" s="8">
        <v>829.22</v>
      </c>
      <c r="BV34" s="8">
        <v>815.9</v>
      </c>
      <c r="BW34" s="8">
        <v>830.61</v>
      </c>
      <c r="BX34" s="8">
        <v>822.88</v>
      </c>
      <c r="BY34" s="8">
        <v>818.77</v>
      </c>
      <c r="BZ34" s="8">
        <v>824.92</v>
      </c>
      <c r="CA34" s="8">
        <v>824.81</v>
      </c>
      <c r="CB34" s="8">
        <v>840.48</v>
      </c>
      <c r="CC34" s="8">
        <v>858.57</v>
      </c>
      <c r="CD34" s="8">
        <v>892.12</v>
      </c>
      <c r="CE34" s="8">
        <v>905.23</v>
      </c>
      <c r="CF34" s="8">
        <v>869.85</v>
      </c>
      <c r="CG34" s="8">
        <v>914.65</v>
      </c>
      <c r="CH34" s="8">
        <v>914.61</v>
      </c>
      <c r="CI34" s="8">
        <v>940.07</v>
      </c>
      <c r="CJ34" s="8">
        <v>960.82</v>
      </c>
      <c r="CK34" s="8">
        <v>957.29</v>
      </c>
      <c r="CL34" s="8">
        <v>972.65</v>
      </c>
      <c r="CM34" s="8">
        <v>955.88</v>
      </c>
      <c r="CN34" s="8">
        <v>969.13</v>
      </c>
      <c r="CO34" s="8">
        <v>977.06</v>
      </c>
      <c r="CP34" s="8">
        <v>991.11</v>
      </c>
      <c r="CQ34" s="8">
        <v>1019.68</v>
      </c>
      <c r="CR34" s="8">
        <v>1058.7</v>
      </c>
    </row>
    <row r="35" spans="1:96">
      <c r="A35" t="s">
        <v>102</v>
      </c>
      <c r="B35" s="4">
        <f>+B32*1.7433628318584</f>
        <v>131.83309734513222</v>
      </c>
      <c r="C35" s="4">
        <f t="shared" ref="C35:BN35" si="22">+C32*1.7433628318584</f>
        <v>140.65451327433573</v>
      </c>
      <c r="D35" s="4">
        <f t="shared" si="22"/>
        <v>143.93203539822952</v>
      </c>
      <c r="E35" s="4">
        <f t="shared" si="22"/>
        <v>146.96548672566311</v>
      </c>
      <c r="F35" s="4">
        <f t="shared" si="22"/>
        <v>150.66141592920295</v>
      </c>
      <c r="G35" s="4">
        <f t="shared" si="22"/>
        <v>153.03238938053036</v>
      </c>
      <c r="H35" s="4">
        <f t="shared" si="22"/>
        <v>163.84123893805244</v>
      </c>
      <c r="I35" s="4">
        <f t="shared" si="22"/>
        <v>168.40884955752142</v>
      </c>
      <c r="J35" s="4">
        <f t="shared" si="22"/>
        <v>169.00159292035329</v>
      </c>
      <c r="K35" s="4">
        <f t="shared" si="22"/>
        <v>171.86070796460106</v>
      </c>
      <c r="L35" s="4">
        <f t="shared" si="22"/>
        <v>174.16194690265417</v>
      </c>
      <c r="M35" s="4">
        <f t="shared" si="22"/>
        <v>179.39203539822938</v>
      </c>
      <c r="N35" s="4">
        <f t="shared" si="22"/>
        <v>181.5189380530966</v>
      </c>
      <c r="O35" s="4">
        <f t="shared" si="22"/>
        <v>185.11026548672493</v>
      </c>
      <c r="P35" s="4">
        <f t="shared" si="22"/>
        <v>187.55097345132668</v>
      </c>
      <c r="Q35" s="4">
        <f t="shared" si="22"/>
        <v>198.46442477876028</v>
      </c>
      <c r="R35" s="4">
        <f t="shared" si="22"/>
        <v>205.19380530973368</v>
      </c>
      <c r="S35" s="4">
        <f t="shared" si="22"/>
        <v>206.23982300884873</v>
      </c>
      <c r="T35" s="4">
        <f t="shared" si="22"/>
        <v>208.47132743362747</v>
      </c>
      <c r="U35" s="4">
        <f t="shared" si="22"/>
        <v>206.06548672566288</v>
      </c>
      <c r="V35" s="4">
        <f t="shared" si="22"/>
        <v>202.47415929203459</v>
      </c>
      <c r="W35" s="4">
        <f t="shared" si="22"/>
        <v>207.59964601769826</v>
      </c>
      <c r="X35" s="4">
        <f t="shared" si="22"/>
        <v>209.48247787610535</v>
      </c>
      <c r="Y35" s="4">
        <f t="shared" si="22"/>
        <v>210.49362831858321</v>
      </c>
      <c r="Z35" s="4">
        <f t="shared" si="22"/>
        <v>210.56336283185755</v>
      </c>
      <c r="AA35" s="4">
        <f t="shared" si="22"/>
        <v>214.57309734513188</v>
      </c>
      <c r="AB35" s="4">
        <f t="shared" si="22"/>
        <v>212.23699115044161</v>
      </c>
      <c r="AC35" s="4">
        <f t="shared" si="22"/>
        <v>214.46849557522037</v>
      </c>
      <c r="AD35" s="4">
        <f t="shared" si="22"/>
        <v>223.28991150442388</v>
      </c>
      <c r="AE35" s="4">
        <f t="shared" si="22"/>
        <v>233.12247787610525</v>
      </c>
      <c r="AF35" s="4">
        <f t="shared" si="22"/>
        <v>240.13079646017604</v>
      </c>
      <c r="AG35" s="4">
        <f t="shared" si="22"/>
        <v>242.15309734513178</v>
      </c>
      <c r="AH35" s="4">
        <f t="shared" si="22"/>
        <v>248.11539823008749</v>
      </c>
      <c r="AI35" s="4">
        <f t="shared" si="22"/>
        <v>256.93681415929098</v>
      </c>
      <c r="AJ35" s="4">
        <f t="shared" si="22"/>
        <v>262.16690265486619</v>
      </c>
      <c r="AK35" s="4">
        <f t="shared" si="22"/>
        <v>262.68991150442372</v>
      </c>
      <c r="AL35" s="4">
        <f t="shared" si="22"/>
        <v>270.29097345132635</v>
      </c>
      <c r="AM35" s="4">
        <f t="shared" si="22"/>
        <v>268.30353982300778</v>
      </c>
      <c r="AN35" s="4">
        <f t="shared" si="22"/>
        <v>273.4987610619458</v>
      </c>
      <c r="AO35" s="4">
        <f t="shared" si="22"/>
        <v>281.03008849557409</v>
      </c>
      <c r="AP35" s="4">
        <f t="shared" si="22"/>
        <v>293.58230088495458</v>
      </c>
      <c r="AQ35" s="4">
        <f t="shared" si="22"/>
        <v>324.89309734513142</v>
      </c>
      <c r="AR35" s="4">
        <f t="shared" si="22"/>
        <v>351.84548672566228</v>
      </c>
      <c r="AS35" s="4">
        <f t="shared" si="22"/>
        <v>376.98477876106045</v>
      </c>
      <c r="AT35" s="4">
        <f t="shared" si="22"/>
        <v>425.58973451327262</v>
      </c>
      <c r="AU35" s="4">
        <f t="shared" si="22"/>
        <v>486.53769911504224</v>
      </c>
      <c r="AV35" s="4">
        <f t="shared" si="22"/>
        <v>531.20265486725441</v>
      </c>
      <c r="AW35" s="4">
        <f t="shared" si="22"/>
        <v>566.87185840707741</v>
      </c>
      <c r="AX35" s="4">
        <f t="shared" si="22"/>
        <v>617.46424778760809</v>
      </c>
      <c r="AY35" s="4">
        <f t="shared" si="22"/>
        <v>642.77787610619202</v>
      </c>
      <c r="AZ35" s="4">
        <f t="shared" si="22"/>
        <v>669.13752212389113</v>
      </c>
      <c r="BA35" s="4">
        <f t="shared" si="22"/>
        <v>725.06460176990856</v>
      </c>
      <c r="BB35" s="4">
        <f t="shared" si="22"/>
        <v>771.82159292035089</v>
      </c>
      <c r="BC35" s="4">
        <f t="shared" si="22"/>
        <v>821.71663716813828</v>
      </c>
      <c r="BD35" s="4">
        <f t="shared" si="22"/>
        <v>863.4876106194655</v>
      </c>
      <c r="BE35" s="4">
        <f t="shared" si="22"/>
        <v>969.72814159291647</v>
      </c>
      <c r="BF35" s="4">
        <f t="shared" si="22"/>
        <v>1074.0161061946858</v>
      </c>
      <c r="BG35" s="4">
        <f t="shared" si="22"/>
        <v>1140.1941592920307</v>
      </c>
      <c r="BH35" s="4">
        <f t="shared" si="22"/>
        <v>1209.9984070796411</v>
      </c>
      <c r="BI35" s="4">
        <f t="shared" si="22"/>
        <v>1364.564955752207</v>
      </c>
      <c r="BJ35" s="4">
        <f t="shared" si="22"/>
        <v>1802.4279646017628</v>
      </c>
      <c r="BK35" s="4">
        <f t="shared" si="22"/>
        <v>2651.4456637168037</v>
      </c>
      <c r="BL35" s="4">
        <f t="shared" si="22"/>
        <v>3457.6463716814019</v>
      </c>
      <c r="BM35" s="4">
        <f t="shared" si="22"/>
        <v>3922.6361061946745</v>
      </c>
      <c r="BN35" s="4">
        <f t="shared" si="22"/>
        <v>4394.0414159291859</v>
      </c>
      <c r="BO35" s="4">
        <f t="shared" ref="BO35:CR35" si="23">+BO32*1.7433628318584</f>
        <v>4548.8520353982112</v>
      </c>
      <c r="BP35" s="4">
        <f t="shared" si="23"/>
        <v>4739.2969911504233</v>
      </c>
      <c r="BQ35" s="4">
        <f t="shared" si="23"/>
        <v>4880.3699115044055</v>
      </c>
      <c r="BR35" s="4">
        <f t="shared" si="23"/>
        <v>4781.4166371681222</v>
      </c>
      <c r="BS35" s="4">
        <f t="shared" si="23"/>
        <v>4869.212389380511</v>
      </c>
      <c r="BT35" s="4">
        <f t="shared" si="23"/>
        <v>4990.6899115044043</v>
      </c>
      <c r="BU35" s="4">
        <f t="shared" si="23"/>
        <v>4861.2975221238739</v>
      </c>
      <c r="BV35" s="4">
        <f t="shared" si="23"/>
        <v>4793.3063716813967</v>
      </c>
      <c r="BW35" s="4">
        <f t="shared" si="23"/>
        <v>4821.4791150442279</v>
      </c>
      <c r="BX35" s="4">
        <f t="shared" si="23"/>
        <v>4856.0674336282991</v>
      </c>
      <c r="BY35" s="4">
        <f t="shared" si="23"/>
        <v>4923.8842477875905</v>
      </c>
      <c r="BZ35" s="4">
        <f t="shared" si="23"/>
        <v>4935.1812389380329</v>
      </c>
      <c r="CA35" s="4">
        <f t="shared" si="23"/>
        <v>4843.0968141592721</v>
      </c>
      <c r="CB35" s="4">
        <f t="shared" si="23"/>
        <v>5010.8431858406875</v>
      </c>
      <c r="CC35" s="4">
        <f t="shared" si="23"/>
        <v>5095.4660176990947</v>
      </c>
      <c r="CD35" s="4">
        <f t="shared" si="23"/>
        <v>5103.3460176990948</v>
      </c>
      <c r="CE35" s="4">
        <f t="shared" si="23"/>
        <v>5136.5047787610411</v>
      </c>
      <c r="CF35" s="4">
        <f t="shared" si="23"/>
        <v>5203.5893805309524</v>
      </c>
      <c r="CG35" s="4">
        <f t="shared" si="23"/>
        <v>5227.4385840707755</v>
      </c>
      <c r="CH35" s="4">
        <f t="shared" si="23"/>
        <v>5286.6431858406868</v>
      </c>
      <c r="CI35" s="4">
        <f t="shared" si="23"/>
        <v>5351.8100884955538</v>
      </c>
      <c r="CJ35" s="4">
        <f t="shared" si="23"/>
        <v>5401.5656637167922</v>
      </c>
      <c r="CK35" s="4">
        <f t="shared" si="23"/>
        <v>5511.2580530973228</v>
      </c>
      <c r="CL35" s="4">
        <f t="shared" si="23"/>
        <v>5485.9444247787396</v>
      </c>
      <c r="CM35" s="4">
        <f t="shared" si="23"/>
        <v>5615.0578761061724</v>
      </c>
      <c r="CN35" s="4">
        <f t="shared" si="23"/>
        <v>5619.3814159291815</v>
      </c>
      <c r="CO35" s="4">
        <f t="shared" si="23"/>
        <v>5680.3293805309504</v>
      </c>
      <c r="CP35" s="4">
        <f t="shared" si="23"/>
        <v>5875.3070796459933</v>
      </c>
      <c r="CQ35" s="4">
        <f t="shared" si="23"/>
        <v>5909.4072566371442</v>
      </c>
      <c r="CR35" s="4">
        <f t="shared" si="23"/>
        <v>6176.8042477875852</v>
      </c>
    </row>
    <row r="36" spans="1:96">
      <c r="A36" t="s">
        <v>103</v>
      </c>
      <c r="B36" s="4">
        <f>+B34*0.9875</f>
        <v>28.825125000000003</v>
      </c>
      <c r="C36" s="4">
        <f t="shared" ref="C36:BN36" si="24">+C34*0.9875</f>
        <v>29.852125000000001</v>
      </c>
      <c r="D36" s="4">
        <f t="shared" si="24"/>
        <v>29.941000000000003</v>
      </c>
      <c r="E36" s="4">
        <f t="shared" si="24"/>
        <v>30.424875</v>
      </c>
      <c r="F36" s="4">
        <f t="shared" si="24"/>
        <v>30.889000000000003</v>
      </c>
      <c r="G36" s="4">
        <f t="shared" si="24"/>
        <v>31.165500000000002</v>
      </c>
      <c r="H36" s="4">
        <f t="shared" si="24"/>
        <v>31.293875000000003</v>
      </c>
      <c r="I36" s="4">
        <f t="shared" si="24"/>
        <v>32.735624999999999</v>
      </c>
      <c r="J36" s="4">
        <f t="shared" si="24"/>
        <v>33.871249999999996</v>
      </c>
      <c r="K36" s="4">
        <f t="shared" si="24"/>
        <v>34.414375</v>
      </c>
      <c r="L36" s="4">
        <f t="shared" si="24"/>
        <v>35.589500000000001</v>
      </c>
      <c r="M36" s="4">
        <f t="shared" si="24"/>
        <v>37.860750000000003</v>
      </c>
      <c r="N36" s="4">
        <f t="shared" si="24"/>
        <v>38.41375</v>
      </c>
      <c r="O36" s="4">
        <f t="shared" si="24"/>
        <v>38.986499999999999</v>
      </c>
      <c r="P36" s="4">
        <f t="shared" si="24"/>
        <v>39.737000000000002</v>
      </c>
      <c r="Q36" s="4">
        <f t="shared" si="24"/>
        <v>41.544125000000001</v>
      </c>
      <c r="R36" s="4">
        <f t="shared" si="24"/>
        <v>43.074750000000002</v>
      </c>
      <c r="S36" s="4">
        <f t="shared" si="24"/>
        <v>42.887125000000005</v>
      </c>
      <c r="T36" s="4">
        <f t="shared" si="24"/>
        <v>43.153750000000002</v>
      </c>
      <c r="U36" s="4">
        <f t="shared" si="24"/>
        <v>43.667250000000003</v>
      </c>
      <c r="V36" s="4">
        <f t="shared" si="24"/>
        <v>43.854875</v>
      </c>
      <c r="W36" s="4">
        <f t="shared" si="24"/>
        <v>45.049749999999996</v>
      </c>
      <c r="X36" s="4">
        <f t="shared" si="24"/>
        <v>45.464500000000001</v>
      </c>
      <c r="Y36" s="4">
        <f t="shared" si="24"/>
        <v>45.543500000000002</v>
      </c>
      <c r="Z36" s="4">
        <f t="shared" si="24"/>
        <v>47.064250000000001</v>
      </c>
      <c r="AA36" s="4">
        <f t="shared" si="24"/>
        <v>44.605375000000002</v>
      </c>
      <c r="AB36" s="4">
        <f t="shared" si="24"/>
        <v>42.018124999999998</v>
      </c>
      <c r="AC36" s="4">
        <f t="shared" si="24"/>
        <v>43.074750000000002</v>
      </c>
      <c r="AD36" s="4">
        <f t="shared" si="24"/>
        <v>44.496750000000006</v>
      </c>
      <c r="AE36" s="4">
        <f t="shared" si="24"/>
        <v>44.555999999999997</v>
      </c>
      <c r="AF36" s="4">
        <f t="shared" si="24"/>
        <v>45.82</v>
      </c>
      <c r="AG36" s="4">
        <f t="shared" si="24"/>
        <v>48.891125000000002</v>
      </c>
      <c r="AH36" s="4">
        <f t="shared" si="24"/>
        <v>50.303249999999998</v>
      </c>
      <c r="AI36" s="4">
        <f t="shared" si="24"/>
        <v>52.051125000000006</v>
      </c>
      <c r="AJ36" s="4">
        <f t="shared" si="24"/>
        <v>52.880625000000002</v>
      </c>
      <c r="AK36" s="4">
        <f t="shared" si="24"/>
        <v>56.119624999999999</v>
      </c>
      <c r="AL36" s="4">
        <f t="shared" si="24"/>
        <v>58.548875000000002</v>
      </c>
      <c r="AM36" s="4">
        <f t="shared" si="24"/>
        <v>58.627875000000003</v>
      </c>
      <c r="AN36" s="4">
        <f t="shared" si="24"/>
        <v>58.716750000000005</v>
      </c>
      <c r="AO36" s="4">
        <f t="shared" si="24"/>
        <v>62.034750000000003</v>
      </c>
      <c r="AP36" s="4">
        <f t="shared" si="24"/>
        <v>64.730625000000003</v>
      </c>
      <c r="AQ36" s="4">
        <f t="shared" si="24"/>
        <v>73.292249999999996</v>
      </c>
      <c r="AR36" s="4">
        <f t="shared" si="24"/>
        <v>85.102750000000015</v>
      </c>
      <c r="AS36" s="4">
        <f t="shared" si="24"/>
        <v>94.059375000000003</v>
      </c>
      <c r="AT36" s="4">
        <f t="shared" si="24"/>
        <v>94.049499999999995</v>
      </c>
      <c r="AU36" s="4">
        <f t="shared" si="24"/>
        <v>105.72175</v>
      </c>
      <c r="AV36" s="4">
        <f t="shared" si="24"/>
        <v>112.97987500000001</v>
      </c>
      <c r="AW36" s="4">
        <f t="shared" si="24"/>
        <v>121.91674999999999</v>
      </c>
      <c r="AX36" s="4">
        <f t="shared" si="24"/>
        <v>130.71537500000002</v>
      </c>
      <c r="AY36" s="4">
        <f t="shared" si="24"/>
        <v>138.94125</v>
      </c>
      <c r="AZ36" s="4">
        <f t="shared" si="24"/>
        <v>145.07362499999999</v>
      </c>
      <c r="BA36" s="4">
        <f t="shared" si="24"/>
        <v>158.13825</v>
      </c>
      <c r="BB36" s="4">
        <f t="shared" si="24"/>
        <v>170.13637499999999</v>
      </c>
      <c r="BC36" s="4">
        <f t="shared" si="24"/>
        <v>174.03700000000001</v>
      </c>
      <c r="BD36" s="4">
        <f t="shared" si="24"/>
        <v>183.04300000000003</v>
      </c>
      <c r="BE36" s="4">
        <f t="shared" si="24"/>
        <v>190.71587500000001</v>
      </c>
      <c r="BF36" s="4">
        <f t="shared" si="24"/>
        <v>194.19187500000001</v>
      </c>
      <c r="BG36" s="4">
        <f t="shared" si="24"/>
        <v>204.84700000000001</v>
      </c>
      <c r="BH36" s="4">
        <f t="shared" si="24"/>
        <v>220.123625</v>
      </c>
      <c r="BI36" s="4">
        <f t="shared" si="24"/>
        <v>238.20475000000002</v>
      </c>
      <c r="BJ36" s="4">
        <f t="shared" si="24"/>
        <v>266.15100000000001</v>
      </c>
      <c r="BK36" s="4">
        <f t="shared" si="24"/>
        <v>319.21924999999999</v>
      </c>
      <c r="BL36" s="4">
        <f t="shared" si="24"/>
        <v>486.22525000000002</v>
      </c>
      <c r="BM36" s="4">
        <f t="shared" si="24"/>
        <v>657.467625</v>
      </c>
      <c r="BN36" s="4">
        <f t="shared" si="24"/>
        <v>731.85599999999999</v>
      </c>
      <c r="BO36" s="4">
        <f t="shared" ref="BO36:CR36" si="25">+BO34*0.9875</f>
        <v>808.73287500000004</v>
      </c>
      <c r="BP36" s="4">
        <f t="shared" si="25"/>
        <v>806.75787500000001</v>
      </c>
      <c r="BQ36" s="4">
        <f t="shared" si="25"/>
        <v>777.01437500000009</v>
      </c>
      <c r="BR36" s="4">
        <f t="shared" si="25"/>
        <v>817.90674999999999</v>
      </c>
      <c r="BS36" s="4">
        <f t="shared" si="25"/>
        <v>841.12287500000002</v>
      </c>
      <c r="BT36" s="4">
        <f t="shared" si="25"/>
        <v>819.10162500000001</v>
      </c>
      <c r="BU36" s="4">
        <f t="shared" si="25"/>
        <v>818.85475000000008</v>
      </c>
      <c r="BV36" s="4">
        <f t="shared" si="25"/>
        <v>805.70124999999996</v>
      </c>
      <c r="BW36" s="4">
        <f t="shared" si="25"/>
        <v>820.22737500000005</v>
      </c>
      <c r="BX36" s="4">
        <f t="shared" si="25"/>
        <v>812.59400000000005</v>
      </c>
      <c r="BY36" s="4">
        <f t="shared" si="25"/>
        <v>808.53537500000004</v>
      </c>
      <c r="BZ36" s="4">
        <f t="shared" si="25"/>
        <v>814.60850000000005</v>
      </c>
      <c r="CA36" s="4">
        <f t="shared" si="25"/>
        <v>814.49987499999997</v>
      </c>
      <c r="CB36" s="4">
        <f t="shared" si="25"/>
        <v>829.97400000000005</v>
      </c>
      <c r="CC36" s="4">
        <f t="shared" si="25"/>
        <v>847.83787500000005</v>
      </c>
      <c r="CD36" s="4">
        <f t="shared" si="25"/>
        <v>880.96850000000006</v>
      </c>
      <c r="CE36" s="4">
        <f t="shared" si="25"/>
        <v>893.91462500000011</v>
      </c>
      <c r="CF36" s="4">
        <f t="shared" si="25"/>
        <v>858.97687500000006</v>
      </c>
      <c r="CG36" s="4">
        <f t="shared" si="25"/>
        <v>903.21687500000007</v>
      </c>
      <c r="CH36" s="4">
        <f t="shared" si="25"/>
        <v>903.1773750000001</v>
      </c>
      <c r="CI36" s="4">
        <f t="shared" si="25"/>
        <v>928.3191250000001</v>
      </c>
      <c r="CJ36" s="4">
        <f t="shared" si="25"/>
        <v>948.80975000000012</v>
      </c>
      <c r="CK36" s="4">
        <f t="shared" si="25"/>
        <v>945.32387500000004</v>
      </c>
      <c r="CL36" s="4">
        <f t="shared" si="25"/>
        <v>960.49187500000005</v>
      </c>
      <c r="CM36" s="4">
        <f t="shared" si="25"/>
        <v>943.93150000000003</v>
      </c>
      <c r="CN36" s="4">
        <f t="shared" si="25"/>
        <v>957.01587500000005</v>
      </c>
      <c r="CO36" s="4">
        <f t="shared" si="25"/>
        <v>964.84675000000004</v>
      </c>
      <c r="CP36" s="4">
        <f t="shared" si="25"/>
        <v>978.72112500000003</v>
      </c>
      <c r="CQ36" s="4">
        <f t="shared" si="25"/>
        <v>1006.934</v>
      </c>
      <c r="CR36" s="4">
        <f t="shared" si="25"/>
        <v>1045.4662500000002</v>
      </c>
    </row>
    <row r="37" spans="1:96">
      <c r="A37" t="s">
        <v>104</v>
      </c>
      <c r="B37" s="4">
        <v>71.900000000000006</v>
      </c>
      <c r="C37" s="4">
        <v>72.63</v>
      </c>
      <c r="D37" s="4">
        <v>73.489999999999995</v>
      </c>
      <c r="E37" s="4">
        <v>75.040000000000006</v>
      </c>
      <c r="F37" s="4">
        <v>76.94</v>
      </c>
      <c r="G37" s="4">
        <v>79.900000000000006</v>
      </c>
      <c r="H37" s="4">
        <v>81.56</v>
      </c>
      <c r="I37" s="4">
        <v>83.89</v>
      </c>
      <c r="J37" s="4">
        <v>87.52</v>
      </c>
      <c r="K37" s="5">
        <v>88.68</v>
      </c>
      <c r="L37" s="5">
        <v>92.16</v>
      </c>
      <c r="M37" s="5">
        <v>98.61</v>
      </c>
      <c r="N37" s="5">
        <v>100.62</v>
      </c>
      <c r="O37" s="5">
        <v>106.12</v>
      </c>
      <c r="P37" s="5">
        <v>108.02</v>
      </c>
      <c r="Q37" s="5">
        <v>111.25</v>
      </c>
      <c r="R37" s="5">
        <v>112.99</v>
      </c>
      <c r="S37" s="6">
        <v>116.37</v>
      </c>
      <c r="T37" s="7">
        <v>116.52</v>
      </c>
      <c r="U37" s="7">
        <v>113.97</v>
      </c>
      <c r="V37" s="7">
        <v>116.46</v>
      </c>
      <c r="W37" s="7">
        <v>116.71</v>
      </c>
      <c r="X37" s="7">
        <v>116.91</v>
      </c>
      <c r="Y37" s="7">
        <v>127.31</v>
      </c>
      <c r="Z37" s="7">
        <v>132.1</v>
      </c>
      <c r="AA37" s="7">
        <v>138.31</v>
      </c>
      <c r="AB37" s="7">
        <v>140.13</v>
      </c>
      <c r="AC37" s="7">
        <v>145.61000000000001</v>
      </c>
      <c r="AD37" s="8">
        <v>151.12</v>
      </c>
      <c r="AE37" s="8">
        <v>157.27000000000001</v>
      </c>
      <c r="AF37" s="8">
        <v>164.72</v>
      </c>
      <c r="AG37" s="8">
        <v>172.29</v>
      </c>
      <c r="AH37" s="8">
        <v>182.91</v>
      </c>
      <c r="AI37" s="8">
        <v>185.12</v>
      </c>
      <c r="AJ37" s="8">
        <v>188.62</v>
      </c>
      <c r="AK37" s="8">
        <v>190.09</v>
      </c>
      <c r="AL37" s="8">
        <v>197.99</v>
      </c>
      <c r="AM37" s="8">
        <v>204.32</v>
      </c>
      <c r="AN37" s="8">
        <v>207.97</v>
      </c>
      <c r="AO37" s="8">
        <v>209.92</v>
      </c>
      <c r="AP37" s="8">
        <v>225.82</v>
      </c>
      <c r="AQ37" s="8">
        <v>265.70999999999998</v>
      </c>
      <c r="AR37" s="8">
        <v>295.24</v>
      </c>
      <c r="AS37" s="8">
        <v>301.62</v>
      </c>
      <c r="AT37" s="8">
        <v>311.8</v>
      </c>
      <c r="AU37" s="8">
        <v>327.39</v>
      </c>
      <c r="AV37" s="8">
        <v>343.1</v>
      </c>
      <c r="AW37" s="8">
        <v>366.54</v>
      </c>
      <c r="AX37" s="8">
        <v>385.2</v>
      </c>
      <c r="AY37" s="8">
        <v>407.77</v>
      </c>
      <c r="AZ37" s="8">
        <v>428.42</v>
      </c>
      <c r="BA37" s="8">
        <v>435.66</v>
      </c>
      <c r="BB37" s="8">
        <v>459.15</v>
      </c>
      <c r="BC37" s="8">
        <v>505.58</v>
      </c>
      <c r="BD37" s="8">
        <v>545.94000000000005</v>
      </c>
      <c r="BE37" s="8">
        <v>617.19000000000005</v>
      </c>
      <c r="BF37" s="8">
        <v>698.16</v>
      </c>
      <c r="BG37" s="8">
        <v>756.05</v>
      </c>
      <c r="BH37" s="8">
        <v>861.81</v>
      </c>
      <c r="BI37" s="8">
        <v>980.2</v>
      </c>
      <c r="BJ37" s="8">
        <v>1076.98</v>
      </c>
      <c r="BK37" s="8">
        <v>1244.72</v>
      </c>
      <c r="BL37" s="8">
        <v>1534.79</v>
      </c>
      <c r="BM37" s="8">
        <v>1790.62</v>
      </c>
      <c r="BN37" s="8">
        <v>1942.55</v>
      </c>
      <c r="BO37" s="8">
        <v>2214.0700000000002</v>
      </c>
      <c r="BP37" s="8">
        <v>2376.84</v>
      </c>
      <c r="BQ37" s="8">
        <v>2501.86</v>
      </c>
      <c r="BR37" s="8">
        <v>2597.5</v>
      </c>
      <c r="BS37" s="8">
        <v>2663.51</v>
      </c>
      <c r="BT37" s="8">
        <v>2774.95</v>
      </c>
      <c r="BU37" s="8">
        <v>2878.01</v>
      </c>
      <c r="BV37" s="8">
        <v>2948.01</v>
      </c>
      <c r="BW37" s="8">
        <v>3040.97</v>
      </c>
      <c r="BX37" s="8">
        <v>3095.49</v>
      </c>
      <c r="BY37" s="8">
        <v>3154.17</v>
      </c>
      <c r="BZ37" s="8">
        <v>3212.93</v>
      </c>
      <c r="CA37" s="8">
        <v>3333.96</v>
      </c>
      <c r="CB37" s="8">
        <v>3415.26</v>
      </c>
      <c r="CC37" s="8">
        <v>3491.53</v>
      </c>
      <c r="CD37" s="8">
        <v>3554.08</v>
      </c>
      <c r="CE37" s="8">
        <v>3661.28</v>
      </c>
      <c r="CF37" s="8">
        <v>3759.76</v>
      </c>
      <c r="CG37" s="8">
        <v>3833.99</v>
      </c>
      <c r="CH37" s="8">
        <v>3908.68</v>
      </c>
      <c r="CI37" s="8">
        <v>3952.81</v>
      </c>
      <c r="CJ37" s="8">
        <v>4024.63</v>
      </c>
      <c r="CK37" s="8">
        <v>4122.18</v>
      </c>
      <c r="CL37" s="8">
        <v>4201.87</v>
      </c>
      <c r="CM37" s="8">
        <v>4268.7</v>
      </c>
      <c r="CN37" s="8">
        <v>4383.37</v>
      </c>
      <c r="CO37" s="8">
        <v>4471.54</v>
      </c>
      <c r="CP37" s="8">
        <v>4652.79</v>
      </c>
      <c r="CQ37" s="8">
        <v>4732.3500000000004</v>
      </c>
      <c r="CR37" s="8">
        <v>4909.9799999999996</v>
      </c>
    </row>
    <row r="38" spans="1:96">
      <c r="A38" t="s">
        <v>105</v>
      </c>
      <c r="B38" s="4">
        <v>28.03</v>
      </c>
      <c r="C38" s="4">
        <v>28.26</v>
      </c>
      <c r="D38" s="4">
        <v>28.81</v>
      </c>
      <c r="E38" s="4">
        <v>29.64</v>
      </c>
      <c r="F38" s="4">
        <v>30.14</v>
      </c>
      <c r="G38" s="4">
        <v>31.63</v>
      </c>
      <c r="H38" s="4">
        <v>33.86</v>
      </c>
      <c r="I38" s="4">
        <v>36.17</v>
      </c>
      <c r="J38" s="4">
        <v>38.049999999999997</v>
      </c>
      <c r="K38" s="5">
        <v>39.17</v>
      </c>
      <c r="L38" s="5">
        <v>41.22</v>
      </c>
      <c r="M38" s="5">
        <v>42.13</v>
      </c>
      <c r="N38" s="5">
        <v>42.31</v>
      </c>
      <c r="O38" s="5">
        <v>43.12</v>
      </c>
      <c r="P38" s="5">
        <v>44.18</v>
      </c>
      <c r="Q38" s="5">
        <v>50.66</v>
      </c>
      <c r="R38" s="5">
        <v>56.99</v>
      </c>
      <c r="S38" s="6">
        <v>61.83</v>
      </c>
      <c r="T38" s="7">
        <v>66.25</v>
      </c>
      <c r="U38" s="7">
        <v>65.430000000000007</v>
      </c>
      <c r="V38" s="7">
        <v>65.75</v>
      </c>
      <c r="W38" s="7">
        <v>64.33</v>
      </c>
      <c r="X38" s="7">
        <v>62.97</v>
      </c>
      <c r="Y38" s="7">
        <v>64.010000000000005</v>
      </c>
      <c r="Z38" s="7">
        <v>65.150000000000006</v>
      </c>
      <c r="AA38" s="7">
        <v>64.48</v>
      </c>
      <c r="AB38" s="7">
        <v>66.12</v>
      </c>
      <c r="AC38" s="7">
        <v>66.78</v>
      </c>
      <c r="AD38" s="8">
        <v>68.58</v>
      </c>
      <c r="AE38" s="8">
        <v>69</v>
      </c>
      <c r="AF38" s="8">
        <v>69.64</v>
      </c>
      <c r="AG38" s="8">
        <v>69.58</v>
      </c>
      <c r="AH38" s="8">
        <v>70.959999999999994</v>
      </c>
      <c r="AI38" s="8">
        <v>73.69</v>
      </c>
      <c r="AJ38" s="8">
        <v>75.680000000000007</v>
      </c>
      <c r="AK38" s="8">
        <v>78.150000000000006</v>
      </c>
      <c r="AL38" s="8">
        <v>78.87</v>
      </c>
      <c r="AM38" s="8">
        <v>79.260000000000005</v>
      </c>
      <c r="AN38" s="8">
        <v>81.709999999999994</v>
      </c>
      <c r="AO38" s="8">
        <v>83.75</v>
      </c>
      <c r="AP38" s="8">
        <v>89.08</v>
      </c>
      <c r="AQ38" s="8">
        <v>98.46</v>
      </c>
      <c r="AR38" s="8">
        <v>110.09</v>
      </c>
      <c r="AS38" s="8">
        <v>123.16</v>
      </c>
      <c r="AT38" s="8">
        <v>133.11000000000001</v>
      </c>
      <c r="AU38" s="8">
        <v>173.68</v>
      </c>
      <c r="AV38" s="8">
        <v>203.52</v>
      </c>
      <c r="AW38" s="8">
        <v>230.74</v>
      </c>
      <c r="AX38" s="8">
        <v>248.31</v>
      </c>
      <c r="AY38" s="8">
        <v>254.41</v>
      </c>
      <c r="AZ38" s="8">
        <v>251.86</v>
      </c>
      <c r="BA38" s="8">
        <v>254.84</v>
      </c>
      <c r="BB38" s="8">
        <v>271.75</v>
      </c>
      <c r="BC38" s="8">
        <v>293.61</v>
      </c>
      <c r="BD38" s="8">
        <v>355.67</v>
      </c>
      <c r="BE38" s="8">
        <v>459.16</v>
      </c>
      <c r="BF38" s="8">
        <v>614.94000000000005</v>
      </c>
      <c r="BG38" s="8">
        <v>719.94</v>
      </c>
      <c r="BH38" s="8">
        <v>761.15</v>
      </c>
      <c r="BI38" s="8">
        <v>870.89</v>
      </c>
      <c r="BJ38" s="8">
        <v>1007.9</v>
      </c>
      <c r="BK38" s="8">
        <v>1091.95</v>
      </c>
      <c r="BL38" s="8">
        <v>1308.43</v>
      </c>
      <c r="BM38" s="8">
        <v>1318.26</v>
      </c>
      <c r="BN38" s="8">
        <v>1239.3800000000001</v>
      </c>
      <c r="BO38" s="8">
        <v>1216.28</v>
      </c>
      <c r="BP38" s="8">
        <v>1185.1400000000001</v>
      </c>
      <c r="BQ38" s="8">
        <v>1104.68</v>
      </c>
      <c r="BR38" s="8">
        <v>1088.92</v>
      </c>
      <c r="BS38" s="8">
        <v>1080.57</v>
      </c>
      <c r="BT38" s="8">
        <v>1127.8800000000001</v>
      </c>
      <c r="BU38" s="8">
        <v>1109.76</v>
      </c>
      <c r="BV38" s="8">
        <v>1092.81</v>
      </c>
      <c r="BW38" s="8">
        <v>1091.08</v>
      </c>
      <c r="BX38" s="8">
        <v>1122.8800000000001</v>
      </c>
      <c r="BY38" s="8">
        <v>1114.45</v>
      </c>
      <c r="BZ38" s="8">
        <v>1128.8599999999999</v>
      </c>
      <c r="CA38" s="8">
        <v>1117.23</v>
      </c>
      <c r="CB38" s="8">
        <v>1124.6600000000001</v>
      </c>
      <c r="CC38" s="8">
        <v>1120.46</v>
      </c>
      <c r="CD38" s="8">
        <v>1126.74</v>
      </c>
      <c r="CE38" s="8">
        <v>1140.81</v>
      </c>
      <c r="CF38" s="8">
        <v>1130.19</v>
      </c>
      <c r="CG38" s="8">
        <v>1150.96</v>
      </c>
      <c r="CH38" s="8">
        <v>1163.29</v>
      </c>
      <c r="CI38" s="8">
        <v>1180.3399999999999</v>
      </c>
      <c r="CJ38" s="8">
        <v>1228.92</v>
      </c>
      <c r="CK38" s="8">
        <v>1264.1400000000001</v>
      </c>
      <c r="CL38" s="8">
        <v>1315.4</v>
      </c>
      <c r="CM38" s="8">
        <v>1389.87</v>
      </c>
      <c r="CN38" s="8">
        <v>1432.8</v>
      </c>
      <c r="CO38" s="8">
        <v>1495.66</v>
      </c>
      <c r="CP38" s="8">
        <v>1516.46</v>
      </c>
      <c r="CQ38" s="8">
        <v>1550.72</v>
      </c>
      <c r="CR38" s="8">
        <v>1572.51</v>
      </c>
    </row>
    <row r="39" spans="1:96">
      <c r="A39" t="s">
        <v>106</v>
      </c>
      <c r="B39" s="4">
        <f>+B38*1.83898305084745</f>
        <v>51.546694915254029</v>
      </c>
      <c r="C39" s="4">
        <f t="shared" ref="C39:BN39" si="26">+C38*1.83898305084745</f>
        <v>51.96966101694894</v>
      </c>
      <c r="D39" s="4">
        <f t="shared" si="26"/>
        <v>52.981101694915033</v>
      </c>
      <c r="E39" s="4">
        <f t="shared" si="26"/>
        <v>54.50745762711842</v>
      </c>
      <c r="F39" s="4">
        <f t="shared" si="26"/>
        <v>55.426949152542143</v>
      </c>
      <c r="G39" s="4">
        <f t="shared" si="26"/>
        <v>58.167033898304844</v>
      </c>
      <c r="H39" s="4">
        <f t="shared" si="26"/>
        <v>62.267966101694661</v>
      </c>
      <c r="I39" s="4">
        <f t="shared" si="26"/>
        <v>66.516016949152274</v>
      </c>
      <c r="J39" s="4">
        <f t="shared" si="26"/>
        <v>69.973305084745476</v>
      </c>
      <c r="K39" s="4">
        <f t="shared" si="26"/>
        <v>72.032966101694626</v>
      </c>
      <c r="L39" s="4">
        <f t="shared" si="26"/>
        <v>75.802881355931888</v>
      </c>
      <c r="M39" s="4">
        <f t="shared" si="26"/>
        <v>77.476355932203077</v>
      </c>
      <c r="N39" s="4">
        <f t="shared" si="26"/>
        <v>77.807372881355619</v>
      </c>
      <c r="O39" s="4">
        <f t="shared" si="26"/>
        <v>79.296949152542041</v>
      </c>
      <c r="P39" s="4">
        <f t="shared" si="26"/>
        <v>81.246271186440339</v>
      </c>
      <c r="Q39" s="4">
        <f t="shared" si="26"/>
        <v>93.162881355931816</v>
      </c>
      <c r="R39" s="4">
        <f t="shared" si="26"/>
        <v>104.80364406779618</v>
      </c>
      <c r="S39" s="4">
        <f t="shared" si="26"/>
        <v>113.70432203389784</v>
      </c>
      <c r="T39" s="4">
        <f t="shared" si="26"/>
        <v>121.83262711864357</v>
      </c>
      <c r="U39" s="4">
        <f t="shared" si="26"/>
        <v>120.32466101694867</v>
      </c>
      <c r="V39" s="4">
        <f t="shared" si="26"/>
        <v>120.91313559321983</v>
      </c>
      <c r="W39" s="4">
        <f t="shared" si="26"/>
        <v>118.30177966101645</v>
      </c>
      <c r="X39" s="4">
        <f t="shared" si="26"/>
        <v>115.80076271186392</v>
      </c>
      <c r="Y39" s="4">
        <f t="shared" si="26"/>
        <v>117.71330508474529</v>
      </c>
      <c r="Z39" s="4">
        <f t="shared" si="26"/>
        <v>119.80974576271139</v>
      </c>
      <c r="AA39" s="4">
        <f t="shared" si="26"/>
        <v>118.57762711864359</v>
      </c>
      <c r="AB39" s="4">
        <f t="shared" si="26"/>
        <v>121.5935593220334</v>
      </c>
      <c r="AC39" s="4">
        <f t="shared" si="26"/>
        <v>122.80728813559271</v>
      </c>
      <c r="AD39" s="4">
        <f t="shared" si="26"/>
        <v>126.11745762711813</v>
      </c>
      <c r="AE39" s="4">
        <f t="shared" si="26"/>
        <v>126.88983050847405</v>
      </c>
      <c r="AF39" s="4">
        <f t="shared" si="26"/>
        <v>128.06677966101643</v>
      </c>
      <c r="AG39" s="4">
        <f t="shared" si="26"/>
        <v>127.95644067796557</v>
      </c>
      <c r="AH39" s="4">
        <f t="shared" si="26"/>
        <v>130.49423728813505</v>
      </c>
      <c r="AI39" s="4">
        <f t="shared" si="26"/>
        <v>135.51466101694859</v>
      </c>
      <c r="AJ39" s="4">
        <f t="shared" si="26"/>
        <v>139.17423728813503</v>
      </c>
      <c r="AK39" s="4">
        <f t="shared" si="26"/>
        <v>143.71652542372823</v>
      </c>
      <c r="AL39" s="4">
        <f t="shared" si="26"/>
        <v>145.04059322033839</v>
      </c>
      <c r="AM39" s="4">
        <f t="shared" si="26"/>
        <v>145.7577966101689</v>
      </c>
      <c r="AN39" s="4">
        <f t="shared" si="26"/>
        <v>150.26330508474513</v>
      </c>
      <c r="AO39" s="4">
        <f t="shared" si="26"/>
        <v>154.01483050847395</v>
      </c>
      <c r="AP39" s="4">
        <f t="shared" si="26"/>
        <v>163.81661016949084</v>
      </c>
      <c r="AQ39" s="4">
        <f t="shared" si="26"/>
        <v>181.06627118643993</v>
      </c>
      <c r="AR39" s="4">
        <f t="shared" si="26"/>
        <v>202.45364406779578</v>
      </c>
      <c r="AS39" s="4">
        <f t="shared" si="26"/>
        <v>226.48915254237195</v>
      </c>
      <c r="AT39" s="4">
        <f t="shared" si="26"/>
        <v>244.78703389830412</v>
      </c>
      <c r="AU39" s="4">
        <f t="shared" si="26"/>
        <v>319.39457627118514</v>
      </c>
      <c r="AV39" s="4">
        <f t="shared" si="26"/>
        <v>374.26983050847304</v>
      </c>
      <c r="AW39" s="4">
        <f t="shared" si="26"/>
        <v>424.32694915254064</v>
      </c>
      <c r="AX39" s="4">
        <f t="shared" si="26"/>
        <v>456.63788135593035</v>
      </c>
      <c r="AY39" s="4">
        <f t="shared" si="26"/>
        <v>467.85567796609979</v>
      </c>
      <c r="AZ39" s="4">
        <f t="shared" si="26"/>
        <v>463.16627118643879</v>
      </c>
      <c r="BA39" s="4">
        <f t="shared" si="26"/>
        <v>468.64644067796416</v>
      </c>
      <c r="BB39" s="4">
        <f t="shared" si="26"/>
        <v>499.74364406779455</v>
      </c>
      <c r="BC39" s="4">
        <f t="shared" si="26"/>
        <v>539.94381355931989</v>
      </c>
      <c r="BD39" s="4">
        <f t="shared" si="26"/>
        <v>654.07110169491261</v>
      </c>
      <c r="BE39" s="4">
        <f t="shared" si="26"/>
        <v>844.38745762711517</v>
      </c>
      <c r="BF39" s="4">
        <f t="shared" si="26"/>
        <v>1130.8642372881311</v>
      </c>
      <c r="BG39" s="4">
        <f t="shared" si="26"/>
        <v>1323.9574576271134</v>
      </c>
      <c r="BH39" s="4">
        <f t="shared" si="26"/>
        <v>1399.7419491525366</v>
      </c>
      <c r="BI39" s="4">
        <f t="shared" si="26"/>
        <v>1601.5519491525358</v>
      </c>
      <c r="BJ39" s="4">
        <f t="shared" si="26"/>
        <v>1853.511016949145</v>
      </c>
      <c r="BK39" s="4">
        <f t="shared" si="26"/>
        <v>2008.0775423728733</v>
      </c>
      <c r="BL39" s="4">
        <f t="shared" si="26"/>
        <v>2406.1805932203292</v>
      </c>
      <c r="BM39" s="4">
        <f t="shared" si="26"/>
        <v>2424.2577966101594</v>
      </c>
      <c r="BN39" s="4">
        <f t="shared" si="26"/>
        <v>2279.1988135593128</v>
      </c>
      <c r="BO39" s="4">
        <f t="shared" ref="BO39:CR39" si="27">+BO38*1.83898305084745</f>
        <v>2236.7183050847366</v>
      </c>
      <c r="BP39" s="4">
        <f t="shared" si="27"/>
        <v>2179.4523728813469</v>
      </c>
      <c r="BQ39" s="4">
        <f t="shared" si="27"/>
        <v>2031.4877966101612</v>
      </c>
      <c r="BR39" s="4">
        <f t="shared" si="27"/>
        <v>2002.5054237288055</v>
      </c>
      <c r="BS39" s="4">
        <f t="shared" si="27"/>
        <v>1987.149915254229</v>
      </c>
      <c r="BT39" s="4">
        <f t="shared" si="27"/>
        <v>2074.1522033898223</v>
      </c>
      <c r="BU39" s="4">
        <f t="shared" si="27"/>
        <v>2040.8298305084661</v>
      </c>
      <c r="BV39" s="4">
        <f t="shared" si="27"/>
        <v>2009.6590677966019</v>
      </c>
      <c r="BW39" s="4">
        <f t="shared" si="27"/>
        <v>2006.4776271186356</v>
      </c>
      <c r="BX39" s="4">
        <f t="shared" si="27"/>
        <v>2064.9572881355848</v>
      </c>
      <c r="BY39" s="4">
        <f t="shared" si="27"/>
        <v>2049.4546610169409</v>
      </c>
      <c r="BZ39" s="4">
        <f t="shared" si="27"/>
        <v>2075.9544067796523</v>
      </c>
      <c r="CA39" s="4">
        <f t="shared" si="27"/>
        <v>2054.5670338982968</v>
      </c>
      <c r="CB39" s="4">
        <f t="shared" si="27"/>
        <v>2068.2306779660935</v>
      </c>
      <c r="CC39" s="4">
        <f t="shared" si="27"/>
        <v>2060.5069491525342</v>
      </c>
      <c r="CD39" s="4">
        <f t="shared" si="27"/>
        <v>2072.055762711856</v>
      </c>
      <c r="CE39" s="4">
        <f t="shared" si="27"/>
        <v>2097.9302542372793</v>
      </c>
      <c r="CF39" s="4">
        <f t="shared" si="27"/>
        <v>2078.4002542372796</v>
      </c>
      <c r="CG39" s="4">
        <f t="shared" si="27"/>
        <v>2116.5959322033814</v>
      </c>
      <c r="CH39" s="4">
        <f t="shared" si="27"/>
        <v>2139.2705932203303</v>
      </c>
      <c r="CI39" s="4">
        <f t="shared" si="27"/>
        <v>2170.625254237279</v>
      </c>
      <c r="CJ39" s="4">
        <f t="shared" si="27"/>
        <v>2259.9630508474484</v>
      </c>
      <c r="CK39" s="4">
        <f t="shared" si="27"/>
        <v>2324.7320338982959</v>
      </c>
      <c r="CL39" s="4">
        <f t="shared" si="27"/>
        <v>2418.9983050847359</v>
      </c>
      <c r="CM39" s="4">
        <f t="shared" si="27"/>
        <v>2555.947372881345</v>
      </c>
      <c r="CN39" s="4">
        <f t="shared" si="27"/>
        <v>2634.8949152542264</v>
      </c>
      <c r="CO39" s="4">
        <f t="shared" si="27"/>
        <v>2750.4933898304971</v>
      </c>
      <c r="CP39" s="4">
        <f t="shared" si="27"/>
        <v>2788.7442372881242</v>
      </c>
      <c r="CQ39" s="4">
        <f t="shared" si="27"/>
        <v>2851.7477966101578</v>
      </c>
      <c r="CR39" s="4">
        <f t="shared" si="27"/>
        <v>2891.8192372881235</v>
      </c>
    </row>
    <row r="40" spans="1:96">
      <c r="A40" t="s">
        <v>107</v>
      </c>
      <c r="B40" s="4">
        <f>+B38*1.17796610169491</f>
        <v>33.018389830508326</v>
      </c>
      <c r="C40" s="4">
        <f t="shared" ref="C40:BN40" si="28">+C38*1.17796610169491</f>
        <v>33.289322033898152</v>
      </c>
      <c r="D40" s="4">
        <f t="shared" si="28"/>
        <v>33.937203389830351</v>
      </c>
      <c r="E40" s="4">
        <f t="shared" si="28"/>
        <v>34.91491525423713</v>
      </c>
      <c r="F40" s="4">
        <f t="shared" si="28"/>
        <v>35.503898305084583</v>
      </c>
      <c r="G40" s="4">
        <f t="shared" si="28"/>
        <v>37.259067796609997</v>
      </c>
      <c r="H40" s="4">
        <f t="shared" si="28"/>
        <v>39.88593220338965</v>
      </c>
      <c r="I40" s="4">
        <f t="shared" si="28"/>
        <v>42.607033898304891</v>
      </c>
      <c r="J40" s="4">
        <f t="shared" si="28"/>
        <v>44.821610169491315</v>
      </c>
      <c r="K40" s="4">
        <f t="shared" si="28"/>
        <v>46.140932203389625</v>
      </c>
      <c r="L40" s="4">
        <f t="shared" si="28"/>
        <v>48.555762711864183</v>
      </c>
      <c r="M40" s="4">
        <f t="shared" si="28"/>
        <v>49.627711864406557</v>
      </c>
      <c r="N40" s="4">
        <f t="shared" si="28"/>
        <v>49.839745762711644</v>
      </c>
      <c r="O40" s="4">
        <f t="shared" si="28"/>
        <v>50.793898305084511</v>
      </c>
      <c r="P40" s="4">
        <f t="shared" si="28"/>
        <v>52.042542372881115</v>
      </c>
      <c r="Q40" s="4">
        <f t="shared" si="28"/>
        <v>59.675762711864131</v>
      </c>
      <c r="R40" s="4">
        <f t="shared" si="28"/>
        <v>67.132288135592916</v>
      </c>
      <c r="S40" s="4">
        <f t="shared" si="28"/>
        <v>72.833644067796271</v>
      </c>
      <c r="T40" s="4">
        <f t="shared" si="28"/>
        <v>78.040254237287783</v>
      </c>
      <c r="U40" s="4">
        <f t="shared" si="28"/>
        <v>77.074322033897957</v>
      </c>
      <c r="V40" s="4">
        <f t="shared" si="28"/>
        <v>77.451271186440323</v>
      </c>
      <c r="W40" s="4">
        <f t="shared" si="28"/>
        <v>75.778559322033558</v>
      </c>
      <c r="X40" s="4">
        <f t="shared" si="28"/>
        <v>74.176525423728478</v>
      </c>
      <c r="Y40" s="4">
        <f t="shared" si="28"/>
        <v>75.401610169491192</v>
      </c>
      <c r="Z40" s="4">
        <f t="shared" si="28"/>
        <v>76.744491525423385</v>
      </c>
      <c r="AA40" s="4">
        <f t="shared" si="28"/>
        <v>75.955254237287789</v>
      </c>
      <c r="AB40" s="4">
        <f t="shared" si="28"/>
        <v>77.887118644067442</v>
      </c>
      <c r="AC40" s="4">
        <f t="shared" si="28"/>
        <v>78.664576271186078</v>
      </c>
      <c r="AD40" s="4">
        <f t="shared" si="28"/>
        <v>80.784915254236921</v>
      </c>
      <c r="AE40" s="4">
        <f t="shared" si="28"/>
        <v>81.279661016948779</v>
      </c>
      <c r="AF40" s="4">
        <f t="shared" si="28"/>
        <v>82.033559322033526</v>
      </c>
      <c r="AG40" s="4">
        <f t="shared" si="28"/>
        <v>81.962881355931827</v>
      </c>
      <c r="AH40" s="4">
        <f t="shared" si="28"/>
        <v>83.588474576270798</v>
      </c>
      <c r="AI40" s="4">
        <f t="shared" si="28"/>
        <v>86.804322033897904</v>
      </c>
      <c r="AJ40" s="4">
        <f t="shared" si="28"/>
        <v>89.148474576270786</v>
      </c>
      <c r="AK40" s="4">
        <f t="shared" si="28"/>
        <v>92.05805084745721</v>
      </c>
      <c r="AL40" s="4">
        <f t="shared" si="28"/>
        <v>92.906186440677544</v>
      </c>
      <c r="AM40" s="4">
        <f t="shared" si="28"/>
        <v>93.365593220338567</v>
      </c>
      <c r="AN40" s="4">
        <f t="shared" si="28"/>
        <v>96.251610169491073</v>
      </c>
      <c r="AO40" s="4">
        <f t="shared" si="28"/>
        <v>98.654661016948708</v>
      </c>
      <c r="AP40" s="4">
        <f t="shared" si="28"/>
        <v>104.93322033898257</v>
      </c>
      <c r="AQ40" s="4">
        <f t="shared" si="28"/>
        <v>115.98254237288081</v>
      </c>
      <c r="AR40" s="4">
        <f t="shared" si="28"/>
        <v>129.68228813559264</v>
      </c>
      <c r="AS40" s="4">
        <f t="shared" si="28"/>
        <v>145.0783050847451</v>
      </c>
      <c r="AT40" s="4">
        <f t="shared" si="28"/>
        <v>156.79906779660948</v>
      </c>
      <c r="AU40" s="4">
        <f t="shared" si="28"/>
        <v>204.58915254237195</v>
      </c>
      <c r="AV40" s="4">
        <f t="shared" si="28"/>
        <v>239.73966101694808</v>
      </c>
      <c r="AW40" s="4">
        <f t="shared" si="28"/>
        <v>271.80389830508352</v>
      </c>
      <c r="AX40" s="4">
        <f t="shared" si="28"/>
        <v>292.5007627118631</v>
      </c>
      <c r="AY40" s="4">
        <f t="shared" si="28"/>
        <v>299.68635593220205</v>
      </c>
      <c r="AZ40" s="4">
        <f t="shared" si="28"/>
        <v>296.68254237288005</v>
      </c>
      <c r="BA40" s="4">
        <f t="shared" si="28"/>
        <v>300.19288135593087</v>
      </c>
      <c r="BB40" s="4">
        <f t="shared" si="28"/>
        <v>320.11228813559177</v>
      </c>
      <c r="BC40" s="4">
        <f t="shared" si="28"/>
        <v>345.86262711864254</v>
      </c>
      <c r="BD40" s="4">
        <f t="shared" si="28"/>
        <v>418.96720338982863</v>
      </c>
      <c r="BE40" s="4">
        <f t="shared" si="28"/>
        <v>540.87491525423491</v>
      </c>
      <c r="BF40" s="4">
        <f t="shared" si="28"/>
        <v>724.37847457626799</v>
      </c>
      <c r="BG40" s="4">
        <f t="shared" si="28"/>
        <v>848.06491525423348</v>
      </c>
      <c r="BH40" s="4">
        <f t="shared" si="28"/>
        <v>896.60889830508063</v>
      </c>
      <c r="BI40" s="4">
        <f t="shared" si="28"/>
        <v>1025.8788983050802</v>
      </c>
      <c r="BJ40" s="4">
        <f t="shared" si="28"/>
        <v>1187.2720338982997</v>
      </c>
      <c r="BK40" s="4">
        <f t="shared" si="28"/>
        <v>1286.280084745757</v>
      </c>
      <c r="BL40" s="4">
        <f t="shared" si="28"/>
        <v>1541.2861864406709</v>
      </c>
      <c r="BM40" s="4">
        <f t="shared" si="28"/>
        <v>1552.8655932203319</v>
      </c>
      <c r="BN40" s="4">
        <f t="shared" si="28"/>
        <v>1459.9476271186375</v>
      </c>
      <c r="BO40" s="4">
        <f t="shared" ref="BO40:CR40" si="29">+BO38*1.17796610169491</f>
        <v>1432.7366101694849</v>
      </c>
      <c r="BP40" s="4">
        <f t="shared" si="29"/>
        <v>1396.0547457627056</v>
      </c>
      <c r="BQ40" s="4">
        <f t="shared" si="29"/>
        <v>1301.2755932203331</v>
      </c>
      <c r="BR40" s="4">
        <f t="shared" si="29"/>
        <v>1282.7108474576214</v>
      </c>
      <c r="BS40" s="4">
        <f t="shared" si="29"/>
        <v>1272.8748305084687</v>
      </c>
      <c r="BT40" s="4">
        <f t="shared" si="29"/>
        <v>1328.6044067796552</v>
      </c>
      <c r="BU40" s="4">
        <f t="shared" si="29"/>
        <v>1307.2596610169433</v>
      </c>
      <c r="BV40" s="4">
        <f t="shared" si="29"/>
        <v>1287.2931355932144</v>
      </c>
      <c r="BW40" s="4">
        <f t="shared" si="29"/>
        <v>1285.2552542372823</v>
      </c>
      <c r="BX40" s="4">
        <f t="shared" si="29"/>
        <v>1322.7145762711805</v>
      </c>
      <c r="BY40" s="4">
        <f t="shared" si="29"/>
        <v>1312.7843220338923</v>
      </c>
      <c r="BZ40" s="4">
        <f t="shared" si="29"/>
        <v>1329.758813559316</v>
      </c>
      <c r="CA40" s="4">
        <f t="shared" si="29"/>
        <v>1316.0590677966043</v>
      </c>
      <c r="CB40" s="4">
        <f t="shared" si="29"/>
        <v>1324.8113559321976</v>
      </c>
      <c r="CC40" s="4">
        <f t="shared" si="29"/>
        <v>1319.8638983050787</v>
      </c>
      <c r="CD40" s="4">
        <f t="shared" si="29"/>
        <v>1327.2615254237228</v>
      </c>
      <c r="CE40" s="4">
        <f t="shared" si="29"/>
        <v>1343.8355084745701</v>
      </c>
      <c r="CF40" s="4">
        <f t="shared" si="29"/>
        <v>1331.3255084745704</v>
      </c>
      <c r="CG40" s="4">
        <f t="shared" si="29"/>
        <v>1355.7918644067736</v>
      </c>
      <c r="CH40" s="4">
        <f t="shared" si="29"/>
        <v>1370.3161864406718</v>
      </c>
      <c r="CI40" s="4">
        <f t="shared" si="29"/>
        <v>1390.40050847457</v>
      </c>
      <c r="CJ40" s="4">
        <f t="shared" si="29"/>
        <v>1447.6261016949088</v>
      </c>
      <c r="CK40" s="4">
        <f t="shared" si="29"/>
        <v>1489.1140677966034</v>
      </c>
      <c r="CL40" s="4">
        <f t="shared" si="29"/>
        <v>1549.4966101694845</v>
      </c>
      <c r="CM40" s="4">
        <f t="shared" si="29"/>
        <v>1637.2197457627042</v>
      </c>
      <c r="CN40" s="4">
        <f t="shared" si="29"/>
        <v>1687.7898305084668</v>
      </c>
      <c r="CO40" s="4">
        <f t="shared" si="29"/>
        <v>1761.8367796610091</v>
      </c>
      <c r="CP40" s="4">
        <f t="shared" si="29"/>
        <v>1786.338474576263</v>
      </c>
      <c r="CQ40" s="4">
        <f t="shared" si="29"/>
        <v>1826.6955932203307</v>
      </c>
      <c r="CR40" s="4">
        <f t="shared" si="29"/>
        <v>1852.3634745762627</v>
      </c>
    </row>
    <row r="41" spans="1:96">
      <c r="A41" t="s">
        <v>108</v>
      </c>
      <c r="B41" s="4">
        <v>133.1</v>
      </c>
      <c r="C41" s="4">
        <v>139.35</v>
      </c>
      <c r="D41" s="4">
        <v>141.54999999999998</v>
      </c>
      <c r="E41" s="4">
        <v>147.10000000000002</v>
      </c>
      <c r="F41" s="4">
        <v>149.77499999999998</v>
      </c>
      <c r="G41" s="4">
        <v>161.85</v>
      </c>
      <c r="H41" s="4">
        <v>172.77500000000001</v>
      </c>
      <c r="I41" s="4">
        <v>184.32500000000002</v>
      </c>
      <c r="J41" s="4">
        <v>187.85</v>
      </c>
      <c r="K41" s="5">
        <v>194.95000000000002</v>
      </c>
      <c r="L41" s="5">
        <v>206.92499999999998</v>
      </c>
      <c r="M41" s="5">
        <v>223.05</v>
      </c>
      <c r="N41" s="5">
        <v>233.125</v>
      </c>
      <c r="O41" s="5">
        <v>235.6</v>
      </c>
      <c r="P41" s="5">
        <v>235.2</v>
      </c>
      <c r="Q41" s="5">
        <v>241.02499999999998</v>
      </c>
      <c r="R41" s="5">
        <v>241.22499999999999</v>
      </c>
      <c r="S41" s="6">
        <v>243.375</v>
      </c>
      <c r="T41" s="7">
        <v>240</v>
      </c>
      <c r="U41" s="7">
        <v>241.05</v>
      </c>
      <c r="V41" s="7">
        <v>241.05</v>
      </c>
      <c r="W41" s="7">
        <v>247.5</v>
      </c>
      <c r="X41" s="7">
        <v>251.92499999999998</v>
      </c>
      <c r="Y41" s="7">
        <v>248.72499999999999</v>
      </c>
      <c r="Z41" s="7">
        <v>252.125</v>
      </c>
      <c r="AA41" s="7">
        <v>255.57500000000002</v>
      </c>
      <c r="AB41" s="7">
        <v>254.42499999999998</v>
      </c>
      <c r="AC41" s="7">
        <v>250.72500000000002</v>
      </c>
      <c r="AD41" s="8">
        <v>252.125</v>
      </c>
      <c r="AE41" s="8">
        <v>255.07499999999999</v>
      </c>
      <c r="AF41" s="8">
        <v>312.22500000000002</v>
      </c>
      <c r="AG41" s="8">
        <v>333.875</v>
      </c>
      <c r="AH41" s="8">
        <v>361.9</v>
      </c>
      <c r="AI41" s="8">
        <v>396.25</v>
      </c>
      <c r="AJ41" s="8">
        <v>398.17500000000001</v>
      </c>
      <c r="AK41" s="8">
        <v>430.72499999999997</v>
      </c>
      <c r="AL41" s="8">
        <v>434.7</v>
      </c>
      <c r="AM41" s="8">
        <v>424.97500000000002</v>
      </c>
      <c r="AN41" s="8">
        <v>421.375</v>
      </c>
      <c r="AO41" s="8">
        <v>424.95</v>
      </c>
      <c r="AP41" s="8">
        <v>445.4</v>
      </c>
      <c r="AQ41" s="8">
        <v>454.375</v>
      </c>
      <c r="AR41" s="8">
        <v>479.82500000000005</v>
      </c>
      <c r="AS41" s="8">
        <v>504.47499999999997</v>
      </c>
      <c r="AT41" s="8">
        <v>550.72500000000002</v>
      </c>
      <c r="AU41" s="8">
        <v>631.02499999999998</v>
      </c>
      <c r="AV41" s="8">
        <v>678.77499999999998</v>
      </c>
      <c r="AW41" s="8">
        <v>713.34999999999991</v>
      </c>
      <c r="AX41" s="8">
        <v>768.92499999999995</v>
      </c>
      <c r="AY41" s="8">
        <v>819.95</v>
      </c>
      <c r="AZ41" s="8">
        <v>886.22500000000002</v>
      </c>
      <c r="BA41" s="8">
        <v>942.09999999999991</v>
      </c>
      <c r="BB41" s="8">
        <v>1000.5</v>
      </c>
      <c r="BC41" s="8">
        <v>1080.4749999999999</v>
      </c>
      <c r="BD41" s="8">
        <v>1153.6499999999999</v>
      </c>
      <c r="BE41" s="8">
        <v>1298.7</v>
      </c>
      <c r="BF41" s="8">
        <v>1356.8000000000002</v>
      </c>
      <c r="BG41" s="8">
        <v>1502.85</v>
      </c>
      <c r="BH41" s="8">
        <v>1758.7750000000001</v>
      </c>
      <c r="BI41" s="8">
        <v>1978.2249999999999</v>
      </c>
      <c r="BJ41" s="8">
        <v>2097.5250000000001</v>
      </c>
      <c r="BK41" s="8">
        <v>2354.6750000000002</v>
      </c>
      <c r="BL41" s="8">
        <v>2911.6000000000004</v>
      </c>
      <c r="BM41" s="8">
        <v>3526.8</v>
      </c>
      <c r="BN41" s="8">
        <v>4394.45</v>
      </c>
      <c r="BO41" s="8">
        <v>5182.4249999999993</v>
      </c>
      <c r="BP41" s="8">
        <v>5573.0249999999996</v>
      </c>
      <c r="BQ41" s="8">
        <v>5859.7749999999996</v>
      </c>
      <c r="BR41" s="8">
        <v>6007.1749999999993</v>
      </c>
      <c r="BS41" s="8">
        <v>6096.25</v>
      </c>
      <c r="BT41" s="8">
        <v>6537</v>
      </c>
      <c r="BU41" s="8">
        <v>6564.375</v>
      </c>
      <c r="BV41" s="8">
        <v>6646.9250000000002</v>
      </c>
      <c r="BW41" s="8">
        <v>6784.3249999999998</v>
      </c>
      <c r="BX41" s="8">
        <v>6990.9500000000007</v>
      </c>
      <c r="BY41" s="8">
        <v>7095.5249999999996</v>
      </c>
      <c r="BZ41" s="8">
        <v>7313.625</v>
      </c>
      <c r="CA41" s="8">
        <v>7183.2749999999996</v>
      </c>
      <c r="CB41" s="8">
        <v>7574.3249999999998</v>
      </c>
      <c r="CC41" s="8">
        <v>7654</v>
      </c>
      <c r="CD41" s="8">
        <v>7691.9250000000002</v>
      </c>
      <c r="CE41" s="8">
        <v>7722.95</v>
      </c>
      <c r="CF41" s="8">
        <v>7898.65</v>
      </c>
      <c r="CG41" s="8">
        <v>7909.375</v>
      </c>
      <c r="CH41" s="8">
        <v>8006.7749999999996</v>
      </c>
      <c r="CI41" s="8">
        <v>8041.5499999999993</v>
      </c>
      <c r="CJ41" s="8">
        <v>8166.8499999999995</v>
      </c>
      <c r="CK41" s="8">
        <v>8339.3499999999985</v>
      </c>
      <c r="CL41" s="8">
        <v>8461.375</v>
      </c>
      <c r="CM41" s="8">
        <v>8649.2250000000004</v>
      </c>
      <c r="CN41" s="8">
        <v>8900.9750000000004</v>
      </c>
      <c r="CO41" s="8">
        <v>9413.1749999999993</v>
      </c>
      <c r="CP41" s="8">
        <v>9294.1</v>
      </c>
      <c r="CQ41" s="8">
        <v>9562.65</v>
      </c>
      <c r="CR41" s="8">
        <v>9683.875</v>
      </c>
    </row>
    <row r="42" spans="1:96">
      <c r="A42" t="s">
        <v>109</v>
      </c>
      <c r="B42" s="4">
        <f>+B38*1.86440677966101</f>
        <v>52.259322033898115</v>
      </c>
      <c r="C42" s="4">
        <f t="shared" ref="C42:BN42" si="30">+C38*1.86440677966101</f>
        <v>52.688135593220146</v>
      </c>
      <c r="D42" s="4">
        <f t="shared" si="30"/>
        <v>53.713559322033696</v>
      </c>
      <c r="E42" s="4">
        <f t="shared" si="30"/>
        <v>55.261016949152335</v>
      </c>
      <c r="F42" s="4">
        <f t="shared" si="30"/>
        <v>56.19322033898284</v>
      </c>
      <c r="G42" s="4">
        <f t="shared" si="30"/>
        <v>58.971186440677741</v>
      </c>
      <c r="H42" s="4">
        <f t="shared" si="30"/>
        <v>63.128813559321799</v>
      </c>
      <c r="I42" s="4">
        <f t="shared" si="30"/>
        <v>67.435593220338731</v>
      </c>
      <c r="J42" s="4">
        <f t="shared" si="30"/>
        <v>70.940677966101418</v>
      </c>
      <c r="K42" s="4">
        <f t="shared" si="30"/>
        <v>73.028813559321762</v>
      </c>
      <c r="L42" s="4">
        <f t="shared" si="30"/>
        <v>76.850847457626827</v>
      </c>
      <c r="M42" s="4">
        <f t="shared" si="30"/>
        <v>78.547457627118362</v>
      </c>
      <c r="N42" s="4">
        <f t="shared" si="30"/>
        <v>78.883050847457341</v>
      </c>
      <c r="O42" s="4">
        <f t="shared" si="30"/>
        <v>80.393220338982744</v>
      </c>
      <c r="P42" s="4">
        <f t="shared" si="30"/>
        <v>82.369491525423427</v>
      </c>
      <c r="Q42" s="4">
        <f t="shared" si="30"/>
        <v>94.450847457626764</v>
      </c>
      <c r="R42" s="4">
        <f t="shared" si="30"/>
        <v>106.25254237288097</v>
      </c>
      <c r="S42" s="4">
        <f t="shared" si="30"/>
        <v>115.27627118644024</v>
      </c>
      <c r="T42" s="4">
        <f t="shared" si="30"/>
        <v>123.51694915254191</v>
      </c>
      <c r="U42" s="4">
        <f t="shared" si="30"/>
        <v>121.98813559321989</v>
      </c>
      <c r="V42" s="4">
        <f t="shared" si="30"/>
        <v>122.58474576271141</v>
      </c>
      <c r="W42" s="4">
        <f t="shared" si="30"/>
        <v>119.93728813559277</v>
      </c>
      <c r="X42" s="4">
        <f t="shared" si="30"/>
        <v>117.4016949152538</v>
      </c>
      <c r="Y42" s="4">
        <f t="shared" si="30"/>
        <v>119.34067796610125</v>
      </c>
      <c r="Z42" s="4">
        <f t="shared" si="30"/>
        <v>121.46610169491481</v>
      </c>
      <c r="AA42" s="4">
        <f t="shared" si="30"/>
        <v>120.21694915254193</v>
      </c>
      <c r="AB42" s="4">
        <f t="shared" si="30"/>
        <v>123.27457627118599</v>
      </c>
      <c r="AC42" s="4">
        <f t="shared" si="30"/>
        <v>124.50508474576225</v>
      </c>
      <c r="AD42" s="4">
        <f t="shared" si="30"/>
        <v>127.86101694915206</v>
      </c>
      <c r="AE42" s="4">
        <f t="shared" si="30"/>
        <v>128.64406779660968</v>
      </c>
      <c r="AF42" s="4">
        <f t="shared" si="30"/>
        <v>129.83728813559273</v>
      </c>
      <c r="AG42" s="4">
        <f t="shared" si="30"/>
        <v>129.72542372881307</v>
      </c>
      <c r="AH42" s="4">
        <f t="shared" si="30"/>
        <v>132.29830508474527</v>
      </c>
      <c r="AI42" s="4">
        <f t="shared" si="30"/>
        <v>137.38813559321983</v>
      </c>
      <c r="AJ42" s="4">
        <f t="shared" si="30"/>
        <v>141.09830508474525</v>
      </c>
      <c r="AK42" s="4">
        <f t="shared" si="30"/>
        <v>145.70338983050794</v>
      </c>
      <c r="AL42" s="4">
        <f t="shared" si="30"/>
        <v>147.04576271186386</v>
      </c>
      <c r="AM42" s="4">
        <f t="shared" si="30"/>
        <v>147.77288135593167</v>
      </c>
      <c r="AN42" s="4">
        <f t="shared" si="30"/>
        <v>152.34067796610111</v>
      </c>
      <c r="AO42" s="4">
        <f t="shared" si="30"/>
        <v>156.14406779660959</v>
      </c>
      <c r="AP42" s="4">
        <f t="shared" si="30"/>
        <v>166.08135593220277</v>
      </c>
      <c r="AQ42" s="4">
        <f t="shared" si="30"/>
        <v>183.56949152542302</v>
      </c>
      <c r="AR42" s="4">
        <f t="shared" si="30"/>
        <v>205.25254237288058</v>
      </c>
      <c r="AS42" s="4">
        <f t="shared" si="30"/>
        <v>229.62033898304998</v>
      </c>
      <c r="AT42" s="4">
        <f t="shared" si="30"/>
        <v>248.17118644067708</v>
      </c>
      <c r="AU42" s="4">
        <f t="shared" si="30"/>
        <v>323.81016949152422</v>
      </c>
      <c r="AV42" s="4">
        <f t="shared" si="30"/>
        <v>379.44406779660875</v>
      </c>
      <c r="AW42" s="4">
        <f t="shared" si="30"/>
        <v>430.19322033898146</v>
      </c>
      <c r="AX42" s="4">
        <f t="shared" si="30"/>
        <v>462.9508474576254</v>
      </c>
      <c r="AY42" s="4">
        <f t="shared" si="30"/>
        <v>474.32372881355752</v>
      </c>
      <c r="AZ42" s="4">
        <f t="shared" si="30"/>
        <v>469.56949152542199</v>
      </c>
      <c r="BA42" s="4">
        <f t="shared" si="30"/>
        <v>475.12542372881177</v>
      </c>
      <c r="BB42" s="4">
        <f t="shared" si="30"/>
        <v>506.65254237287945</v>
      </c>
      <c r="BC42" s="4">
        <f t="shared" si="30"/>
        <v>547.40847457626921</v>
      </c>
      <c r="BD42" s="4">
        <f t="shared" si="30"/>
        <v>663.11355932203151</v>
      </c>
      <c r="BE42" s="4">
        <f t="shared" si="30"/>
        <v>856.06101694914935</v>
      </c>
      <c r="BF42" s="4">
        <f t="shared" si="30"/>
        <v>1146.4983050847416</v>
      </c>
      <c r="BG42" s="4">
        <f t="shared" si="30"/>
        <v>1342.2610169491477</v>
      </c>
      <c r="BH42" s="4">
        <f t="shared" si="30"/>
        <v>1419.0932203389777</v>
      </c>
      <c r="BI42" s="4">
        <f t="shared" si="30"/>
        <v>1623.693220338977</v>
      </c>
      <c r="BJ42" s="4">
        <f t="shared" si="30"/>
        <v>1879.1355932203319</v>
      </c>
      <c r="BK42" s="4">
        <f t="shared" si="30"/>
        <v>2035.8389830508399</v>
      </c>
      <c r="BL42" s="4">
        <f t="shared" si="30"/>
        <v>2439.4457627118554</v>
      </c>
      <c r="BM42" s="4">
        <f t="shared" si="30"/>
        <v>2457.7728813559229</v>
      </c>
      <c r="BN42" s="4">
        <f t="shared" si="30"/>
        <v>2310.7084745762627</v>
      </c>
      <c r="BO42" s="4">
        <f t="shared" ref="BO42:CR42" si="31">+BO38*1.86440677966101</f>
        <v>2267.6406779660933</v>
      </c>
      <c r="BP42" s="4">
        <f t="shared" si="31"/>
        <v>2209.5830508474496</v>
      </c>
      <c r="BQ42" s="4">
        <f t="shared" si="31"/>
        <v>2059.5728813559244</v>
      </c>
      <c r="BR42" s="4">
        <f t="shared" si="31"/>
        <v>2030.1898305084671</v>
      </c>
      <c r="BS42" s="4">
        <f t="shared" si="31"/>
        <v>2014.6220338982973</v>
      </c>
      <c r="BT42" s="4">
        <f t="shared" si="31"/>
        <v>2102.8271186440602</v>
      </c>
      <c r="BU42" s="4">
        <f t="shared" si="31"/>
        <v>2069.0440677966026</v>
      </c>
      <c r="BV42" s="4">
        <f t="shared" si="31"/>
        <v>2037.4423728813483</v>
      </c>
      <c r="BW42" s="4">
        <f t="shared" si="31"/>
        <v>2034.2169491525347</v>
      </c>
      <c r="BX42" s="4">
        <f t="shared" si="31"/>
        <v>2093.5050847457551</v>
      </c>
      <c r="BY42" s="4">
        <f t="shared" si="31"/>
        <v>2077.7881355932127</v>
      </c>
      <c r="BZ42" s="4">
        <f t="shared" si="31"/>
        <v>2104.6542372881277</v>
      </c>
      <c r="CA42" s="4">
        <f t="shared" si="31"/>
        <v>2082.9711864406704</v>
      </c>
      <c r="CB42" s="4">
        <f t="shared" si="31"/>
        <v>2096.8237288135515</v>
      </c>
      <c r="CC42" s="4">
        <f t="shared" si="31"/>
        <v>2088.9932203389753</v>
      </c>
      <c r="CD42" s="4">
        <f t="shared" si="31"/>
        <v>2100.7016949152462</v>
      </c>
      <c r="CE42" s="4">
        <f t="shared" si="31"/>
        <v>2126.9338983050766</v>
      </c>
      <c r="CF42" s="4">
        <f t="shared" si="31"/>
        <v>2107.1338983050769</v>
      </c>
      <c r="CG42" s="4">
        <f t="shared" si="31"/>
        <v>2145.8576271186362</v>
      </c>
      <c r="CH42" s="4">
        <f t="shared" si="31"/>
        <v>2168.8457627118564</v>
      </c>
      <c r="CI42" s="4">
        <f t="shared" si="31"/>
        <v>2200.6338983050764</v>
      </c>
      <c r="CJ42" s="4">
        <f t="shared" si="31"/>
        <v>2291.2067796610086</v>
      </c>
      <c r="CK42" s="4">
        <f t="shared" si="31"/>
        <v>2356.8711864406691</v>
      </c>
      <c r="CL42" s="4">
        <f t="shared" si="31"/>
        <v>2452.4406779660926</v>
      </c>
      <c r="CM42" s="4">
        <f t="shared" si="31"/>
        <v>2591.2830508474476</v>
      </c>
      <c r="CN42" s="4">
        <f t="shared" si="31"/>
        <v>2671.3220338982951</v>
      </c>
      <c r="CO42" s="4">
        <f t="shared" si="31"/>
        <v>2788.5186440677862</v>
      </c>
      <c r="CP42" s="4">
        <f t="shared" si="31"/>
        <v>2827.2983050847351</v>
      </c>
      <c r="CQ42" s="4">
        <f t="shared" si="31"/>
        <v>2891.1728813559216</v>
      </c>
      <c r="CR42" s="4">
        <f t="shared" si="31"/>
        <v>2931.7983050847347</v>
      </c>
    </row>
    <row r="43" spans="1:96">
      <c r="A43" t="s">
        <v>110</v>
      </c>
      <c r="B43" s="9">
        <v>64.44</v>
      </c>
      <c r="C43" s="9">
        <v>65.22</v>
      </c>
      <c r="D43" s="9">
        <v>65.173333333333332</v>
      </c>
      <c r="E43" s="9">
        <v>65.36666666666666</v>
      </c>
      <c r="F43" s="9">
        <v>65.320000000000007</v>
      </c>
      <c r="G43" s="9">
        <v>65.94</v>
      </c>
      <c r="H43" s="9">
        <v>67.42</v>
      </c>
      <c r="I43" s="9">
        <v>71.026666666666671</v>
      </c>
      <c r="J43" s="9">
        <v>72.653333333333336</v>
      </c>
      <c r="K43" s="9">
        <v>75.2</v>
      </c>
      <c r="L43" s="9">
        <v>78.333333333333329</v>
      </c>
      <c r="M43" s="9">
        <v>82.72</v>
      </c>
      <c r="N43" s="9">
        <v>84.98</v>
      </c>
      <c r="O43" s="9">
        <v>87.233333333333334</v>
      </c>
      <c r="P43" s="9">
        <v>88.486666666666665</v>
      </c>
      <c r="Q43" s="9">
        <v>96.220000000000013</v>
      </c>
      <c r="R43" s="9">
        <v>99.626666666666665</v>
      </c>
      <c r="S43" s="9">
        <v>100.30666666666667</v>
      </c>
      <c r="T43" s="9">
        <v>100.02</v>
      </c>
      <c r="U43" s="9">
        <v>100.38666666666667</v>
      </c>
      <c r="V43" s="9">
        <v>99.786666666666676</v>
      </c>
      <c r="W43" s="9">
        <v>102.25999999999999</v>
      </c>
      <c r="X43" s="9">
        <v>102.62</v>
      </c>
      <c r="Y43" s="9">
        <v>104.68</v>
      </c>
      <c r="Z43" s="9">
        <v>113.87333333333333</v>
      </c>
      <c r="AA43" s="9">
        <v>118.5</v>
      </c>
      <c r="AB43" s="9">
        <v>121.26666666666667</v>
      </c>
      <c r="AC43" s="9">
        <v>126.74000000000001</v>
      </c>
      <c r="AD43" s="9">
        <v>128.06666666666666</v>
      </c>
      <c r="AE43" s="9">
        <v>134.79333333333332</v>
      </c>
      <c r="AF43" s="9">
        <v>147.29820455198868</v>
      </c>
      <c r="AG43" s="9">
        <v>155.56607390665667</v>
      </c>
      <c r="AH43" s="9">
        <v>160.45849287668668</v>
      </c>
      <c r="AI43" s="9">
        <v>167.89225652020801</v>
      </c>
      <c r="AJ43" s="9">
        <v>172.48098653575801</v>
      </c>
      <c r="AK43" s="9">
        <v>182.44000000000003</v>
      </c>
      <c r="AL43" s="9">
        <v>193.55333333333331</v>
      </c>
      <c r="AM43" s="9">
        <v>192.86666666666667</v>
      </c>
      <c r="AN43" s="9">
        <v>197.78</v>
      </c>
      <c r="AO43" s="9">
        <v>203.65333333333334</v>
      </c>
      <c r="AP43" s="9">
        <v>208.53333333333333</v>
      </c>
      <c r="AQ43" s="9">
        <v>206.52666666666667</v>
      </c>
      <c r="AR43" s="9">
        <v>234.44666666666669</v>
      </c>
      <c r="AS43" s="9">
        <v>247.14</v>
      </c>
      <c r="AT43" s="9">
        <v>279.10666666666668</v>
      </c>
      <c r="AU43" s="9">
        <v>324.77333333333337</v>
      </c>
      <c r="AV43" s="9">
        <v>384.08</v>
      </c>
      <c r="AW43" s="9">
        <v>421.77333333333331</v>
      </c>
      <c r="AX43" s="9">
        <v>476.56666666666666</v>
      </c>
      <c r="AY43" s="9">
        <v>485.11999999999995</v>
      </c>
      <c r="AZ43" s="9">
        <v>517.45333333333326</v>
      </c>
      <c r="BA43" s="9">
        <v>542.67333333333329</v>
      </c>
      <c r="BB43" s="9">
        <v>578.4466666666666</v>
      </c>
      <c r="BC43" s="9">
        <v>590.61333333333334</v>
      </c>
      <c r="BD43" s="9">
        <v>606.11333333333334</v>
      </c>
      <c r="BE43" s="9">
        <v>619.12</v>
      </c>
      <c r="BF43" s="9">
        <v>633.4</v>
      </c>
      <c r="BG43" s="9">
        <v>643.19999999999993</v>
      </c>
      <c r="BH43" s="9">
        <v>684</v>
      </c>
      <c r="BI43" s="9">
        <v>732.93333333333339</v>
      </c>
      <c r="BJ43" s="9">
        <v>771.33333333333337</v>
      </c>
      <c r="BK43" s="9">
        <v>848.72666666666657</v>
      </c>
      <c r="BL43" s="9">
        <v>1329.1933333333334</v>
      </c>
      <c r="BM43" s="9">
        <v>1753.62</v>
      </c>
      <c r="BN43" s="9">
        <v>1842.0133333333333</v>
      </c>
      <c r="BO43" s="9">
        <v>1986.2866666666666</v>
      </c>
      <c r="BP43" s="9">
        <v>1979.46</v>
      </c>
      <c r="BQ43" s="9">
        <v>1952.46</v>
      </c>
      <c r="BR43" s="9">
        <v>1955.4733333333334</v>
      </c>
      <c r="BS43" s="9">
        <v>1971.9933333333331</v>
      </c>
      <c r="BT43" s="9">
        <v>1990.28</v>
      </c>
      <c r="BU43" s="9">
        <v>2016.8733333333332</v>
      </c>
      <c r="BV43" s="9">
        <v>2119.3733333333334</v>
      </c>
      <c r="BW43" s="9">
        <v>2197.2133333333336</v>
      </c>
      <c r="BX43" s="9">
        <v>2314.92</v>
      </c>
      <c r="BY43" s="9">
        <v>2465.0133333333333</v>
      </c>
      <c r="BZ43" s="9">
        <v>2540.0466666666666</v>
      </c>
      <c r="CA43" s="9">
        <v>2576.7199999999998</v>
      </c>
      <c r="CB43" s="9">
        <v>2705.5066666666667</v>
      </c>
      <c r="CC43" s="9">
        <v>2786.3241142356669</v>
      </c>
      <c r="CD43" s="9">
        <v>2911.9133333333334</v>
      </c>
      <c r="CE43" s="9">
        <v>2966.4</v>
      </c>
      <c r="CF43" s="9">
        <v>3018.2466666666664</v>
      </c>
      <c r="CG43" s="9">
        <v>3131.2333333333336</v>
      </c>
      <c r="CH43" s="9">
        <v>3341.6066666666666</v>
      </c>
      <c r="CI43" s="9">
        <v>3455.3266666666664</v>
      </c>
      <c r="CJ43" s="9">
        <v>3550.92</v>
      </c>
      <c r="CK43" s="9">
        <v>3687.92</v>
      </c>
      <c r="CL43" s="9">
        <v>3852.3866666666668</v>
      </c>
      <c r="CM43" s="9">
        <v>4052.5466666666666</v>
      </c>
      <c r="CN43" s="9">
        <v>4161.0466666666662</v>
      </c>
      <c r="CO43" s="9">
        <v>4317.5</v>
      </c>
      <c r="CP43" s="9">
        <v>4418.68</v>
      </c>
      <c r="CQ43" s="9">
        <v>4456.8666666666668</v>
      </c>
      <c r="CR43" s="9">
        <v>4553.166666666667</v>
      </c>
    </row>
    <row r="44" spans="1:96">
      <c r="A44" t="s">
        <v>111</v>
      </c>
      <c r="B44" s="4">
        <f>B43*1.33505154639175</f>
        <v>86.030721649484377</v>
      </c>
      <c r="C44" s="4">
        <f t="shared" ref="C44:BN44" si="32">C43*1.33505154639175</f>
        <v>87.072061855669943</v>
      </c>
      <c r="D44" s="4">
        <f t="shared" si="32"/>
        <v>87.009759450171657</v>
      </c>
      <c r="E44" s="4">
        <f t="shared" si="32"/>
        <v>87.267869415807382</v>
      </c>
      <c r="F44" s="4">
        <f t="shared" si="32"/>
        <v>87.205567010309124</v>
      </c>
      <c r="G44" s="4">
        <f t="shared" si="32"/>
        <v>88.033298969071993</v>
      </c>
      <c r="H44" s="4">
        <f t="shared" si="32"/>
        <v>90.009175257731798</v>
      </c>
      <c r="I44" s="4">
        <f t="shared" si="32"/>
        <v>94.824261168384709</v>
      </c>
      <c r="J44" s="4">
        <f t="shared" si="32"/>
        <v>96.995945017181953</v>
      </c>
      <c r="K44" s="4">
        <f t="shared" si="32"/>
        <v>100.39587628865961</v>
      </c>
      <c r="L44" s="4">
        <f t="shared" si="32"/>
        <v>104.57903780068708</v>
      </c>
      <c r="M44" s="4">
        <f t="shared" si="32"/>
        <v>110.43546391752557</v>
      </c>
      <c r="N44" s="4">
        <f t="shared" si="32"/>
        <v>113.45268041237092</v>
      </c>
      <c r="O44" s="4">
        <f t="shared" si="32"/>
        <v>116.46099656357366</v>
      </c>
      <c r="P44" s="4">
        <f t="shared" si="32"/>
        <v>118.13426116838465</v>
      </c>
      <c r="Q44" s="4">
        <f t="shared" si="32"/>
        <v>128.45865979381421</v>
      </c>
      <c r="R44" s="4">
        <f t="shared" si="32"/>
        <v>133.00673539518874</v>
      </c>
      <c r="S44" s="4">
        <f t="shared" si="32"/>
        <v>133.91457044673515</v>
      </c>
      <c r="T44" s="4">
        <f t="shared" si="32"/>
        <v>133.53185567010283</v>
      </c>
      <c r="U44" s="4">
        <f t="shared" si="32"/>
        <v>134.02137457044648</v>
      </c>
      <c r="V44" s="4">
        <f t="shared" si="32"/>
        <v>133.22034364261145</v>
      </c>
      <c r="W44" s="4">
        <f t="shared" si="32"/>
        <v>136.52237113402035</v>
      </c>
      <c r="X44" s="4">
        <f t="shared" si="32"/>
        <v>137.00298969072139</v>
      </c>
      <c r="Y44" s="4">
        <f t="shared" si="32"/>
        <v>139.7531958762884</v>
      </c>
      <c r="Z44" s="4">
        <f t="shared" si="32"/>
        <v>152.02676975944988</v>
      </c>
      <c r="AA44" s="4">
        <f t="shared" si="32"/>
        <v>158.20360824742238</v>
      </c>
      <c r="AB44" s="4">
        <f t="shared" si="32"/>
        <v>161.89725085910621</v>
      </c>
      <c r="AC44" s="4">
        <f t="shared" si="32"/>
        <v>169.20443298969042</v>
      </c>
      <c r="AD44" s="4">
        <f t="shared" si="32"/>
        <v>170.97560137457012</v>
      </c>
      <c r="AE44" s="4">
        <f t="shared" si="32"/>
        <v>179.95604810996528</v>
      </c>
      <c r="AF44" s="4">
        <f t="shared" si="32"/>
        <v>196.65069576786081</v>
      </c>
      <c r="AG44" s="4">
        <f t="shared" si="32"/>
        <v>207.68872753517527</v>
      </c>
      <c r="AH44" s="4">
        <f t="shared" si="32"/>
        <v>214.22035904671017</v>
      </c>
      <c r="AI44" s="4">
        <f t="shared" si="32"/>
        <v>224.14481669450407</v>
      </c>
      <c r="AJ44" s="4">
        <f t="shared" si="32"/>
        <v>230.27100779773835</v>
      </c>
      <c r="AK44" s="4">
        <f t="shared" si="32"/>
        <v>243.56680412371091</v>
      </c>
      <c r="AL44" s="4">
        <f t="shared" si="32"/>
        <v>258.40367697594451</v>
      </c>
      <c r="AM44" s="4">
        <f t="shared" si="32"/>
        <v>257.48694158075551</v>
      </c>
      <c r="AN44" s="4">
        <f t="shared" si="32"/>
        <v>264.04649484536031</v>
      </c>
      <c r="AO44" s="4">
        <f t="shared" si="32"/>
        <v>271.88769759450122</v>
      </c>
      <c r="AP44" s="4">
        <f t="shared" si="32"/>
        <v>278.40274914089292</v>
      </c>
      <c r="AQ44" s="4">
        <f t="shared" si="32"/>
        <v>275.72374570446686</v>
      </c>
      <c r="AR44" s="4">
        <f t="shared" si="32"/>
        <v>312.99838487972454</v>
      </c>
      <c r="AS44" s="4">
        <f t="shared" si="32"/>
        <v>329.94463917525707</v>
      </c>
      <c r="AT44" s="4">
        <f t="shared" si="32"/>
        <v>372.62178694158007</v>
      </c>
      <c r="AU44" s="4">
        <f t="shared" si="32"/>
        <v>433.58914089347002</v>
      </c>
      <c r="AV44" s="4">
        <f t="shared" si="32"/>
        <v>512.76659793814338</v>
      </c>
      <c r="AW44" s="4">
        <f t="shared" si="32"/>
        <v>563.08914089346968</v>
      </c>
      <c r="AX44" s="4">
        <f t="shared" si="32"/>
        <v>636.24106529209496</v>
      </c>
      <c r="AY44" s="4">
        <f t="shared" si="32"/>
        <v>647.6602061855657</v>
      </c>
      <c r="AZ44" s="4">
        <f t="shared" si="32"/>
        <v>690.82687285223233</v>
      </c>
      <c r="BA44" s="4">
        <f t="shared" si="32"/>
        <v>724.49687285223229</v>
      </c>
      <c r="BB44" s="4">
        <f t="shared" si="32"/>
        <v>772.25611683848638</v>
      </c>
      <c r="BC44" s="4">
        <f t="shared" si="32"/>
        <v>788.49924398625285</v>
      </c>
      <c r="BD44" s="4">
        <f t="shared" si="32"/>
        <v>809.19254295532494</v>
      </c>
      <c r="BE44" s="4">
        <f t="shared" si="32"/>
        <v>826.55711340206028</v>
      </c>
      <c r="BF44" s="4">
        <f t="shared" si="32"/>
        <v>845.62164948453449</v>
      </c>
      <c r="BG44" s="4">
        <f t="shared" si="32"/>
        <v>858.70515463917354</v>
      </c>
      <c r="BH44" s="4">
        <f t="shared" si="32"/>
        <v>913.175257731957</v>
      </c>
      <c r="BI44" s="4">
        <f t="shared" si="32"/>
        <v>978.50378006872677</v>
      </c>
      <c r="BJ44" s="4">
        <f t="shared" si="32"/>
        <v>1029.7697594501699</v>
      </c>
      <c r="BK44" s="4">
        <f t="shared" si="32"/>
        <v>1133.0938487972485</v>
      </c>
      <c r="BL44" s="4">
        <f t="shared" si="32"/>
        <v>1774.5416151202717</v>
      </c>
      <c r="BM44" s="4">
        <f t="shared" si="32"/>
        <v>2341.1730927835006</v>
      </c>
      <c r="BN44" s="4">
        <f t="shared" si="32"/>
        <v>2459.182749140889</v>
      </c>
      <c r="BO44" s="4">
        <f t="shared" ref="BO44:CR44" si="33">BO43*1.33505154639175</f>
        <v>2651.7950859106477</v>
      </c>
      <c r="BP44" s="4">
        <f t="shared" si="33"/>
        <v>2642.6811340206136</v>
      </c>
      <c r="BQ44" s="4">
        <f t="shared" si="33"/>
        <v>2606.6347422680365</v>
      </c>
      <c r="BR44" s="4">
        <f t="shared" si="33"/>
        <v>2610.6576975944968</v>
      </c>
      <c r="BS44" s="4">
        <f t="shared" si="33"/>
        <v>2632.7127491408883</v>
      </c>
      <c r="BT44" s="4">
        <f t="shared" si="33"/>
        <v>2657.1263917525721</v>
      </c>
      <c r="BU44" s="4">
        <f t="shared" si="33"/>
        <v>2692.6298625429499</v>
      </c>
      <c r="BV44" s="4">
        <f t="shared" si="33"/>
        <v>2829.4726460481047</v>
      </c>
      <c r="BW44" s="4">
        <f t="shared" si="33"/>
        <v>2933.393058419239</v>
      </c>
      <c r="BX44" s="4">
        <f t="shared" si="33"/>
        <v>3090.5375257731903</v>
      </c>
      <c r="BY44" s="4">
        <f t="shared" si="33"/>
        <v>3290.919862542949</v>
      </c>
      <c r="BZ44" s="4">
        <f t="shared" si="33"/>
        <v>3391.0932302405436</v>
      </c>
      <c r="CA44" s="4">
        <f t="shared" si="33"/>
        <v>3440.0540206185501</v>
      </c>
      <c r="CB44" s="4">
        <f t="shared" si="33"/>
        <v>3611.9908591065223</v>
      </c>
      <c r="CC44" s="4">
        <f t="shared" si="33"/>
        <v>3719.8863174589505</v>
      </c>
      <c r="CD44" s="4">
        <f t="shared" si="33"/>
        <v>3887.5543986254224</v>
      </c>
      <c r="CE44" s="4">
        <f t="shared" si="33"/>
        <v>3960.2969072164874</v>
      </c>
      <c r="CF44" s="4">
        <f t="shared" si="33"/>
        <v>4029.5148797250781</v>
      </c>
      <c r="CG44" s="4">
        <f t="shared" si="33"/>
        <v>4180.357903780061</v>
      </c>
      <c r="CH44" s="4">
        <f t="shared" si="33"/>
        <v>4461.2171477663142</v>
      </c>
      <c r="CI44" s="4">
        <f t="shared" si="33"/>
        <v>4613.0392096219839</v>
      </c>
      <c r="CJ44" s="4">
        <f t="shared" si="33"/>
        <v>4740.6612371133933</v>
      </c>
      <c r="CK44" s="4">
        <f t="shared" si="33"/>
        <v>4923.563298969063</v>
      </c>
      <c r="CL44" s="4">
        <f t="shared" si="33"/>
        <v>5143.1347766322924</v>
      </c>
      <c r="CM44" s="4">
        <f t="shared" si="33"/>
        <v>5410.3586941580652</v>
      </c>
      <c r="CN44" s="4">
        <f t="shared" si="33"/>
        <v>5555.2117869415697</v>
      </c>
      <c r="CO44" s="4">
        <f t="shared" si="33"/>
        <v>5764.0850515463808</v>
      </c>
      <c r="CP44" s="4">
        <f t="shared" si="33"/>
        <v>5899.1655670102982</v>
      </c>
      <c r="CQ44" s="4">
        <f t="shared" si="33"/>
        <v>5950.1467353951775</v>
      </c>
      <c r="CR44" s="4">
        <f t="shared" si="33"/>
        <v>6078.7121993127039</v>
      </c>
    </row>
    <row r="45" spans="1:96">
      <c r="A45" t="s">
        <v>112</v>
      </c>
      <c r="B45" s="4">
        <v>108.58</v>
      </c>
      <c r="C45" s="4">
        <v>112.76</v>
      </c>
      <c r="D45" s="4">
        <v>116.6</v>
      </c>
      <c r="E45" s="4">
        <v>122.38</v>
      </c>
      <c r="F45" s="4">
        <v>126.44</v>
      </c>
      <c r="G45" s="4">
        <v>135.18</v>
      </c>
      <c r="H45" s="4">
        <v>140.18</v>
      </c>
      <c r="I45" s="4">
        <v>151.1</v>
      </c>
      <c r="J45" s="4">
        <v>161.63999999999999</v>
      </c>
      <c r="K45" s="5">
        <v>168.34</v>
      </c>
      <c r="L45" s="5">
        <v>171.56</v>
      </c>
      <c r="M45" s="5">
        <v>167.66</v>
      </c>
      <c r="N45" s="5">
        <v>177.38</v>
      </c>
      <c r="O45" s="5">
        <v>184.34</v>
      </c>
      <c r="P45" s="5">
        <v>194.94</v>
      </c>
      <c r="Q45" s="5">
        <v>213.96</v>
      </c>
      <c r="R45" s="5">
        <v>225</v>
      </c>
      <c r="S45" s="6">
        <v>229</v>
      </c>
      <c r="T45" s="7">
        <v>227.22</v>
      </c>
      <c r="U45" s="7">
        <v>227.32</v>
      </c>
      <c r="V45" s="7">
        <v>230.18</v>
      </c>
      <c r="W45" s="7">
        <v>239.24</v>
      </c>
      <c r="X45" s="7">
        <v>248.66</v>
      </c>
      <c r="Y45" s="7">
        <v>248.54</v>
      </c>
      <c r="Z45" s="7">
        <v>261.27999999999997</v>
      </c>
      <c r="AA45" s="7">
        <v>275.98</v>
      </c>
      <c r="AB45" s="7">
        <v>285.74</v>
      </c>
      <c r="AC45" s="7">
        <v>293.58</v>
      </c>
      <c r="AD45" s="8">
        <v>311.42</v>
      </c>
      <c r="AE45" s="8">
        <v>320.76</v>
      </c>
      <c r="AF45" s="8">
        <v>351.86</v>
      </c>
      <c r="AG45" s="8">
        <v>368.5</v>
      </c>
      <c r="AH45" s="8">
        <v>380.06</v>
      </c>
      <c r="AI45" s="8">
        <v>406.76</v>
      </c>
      <c r="AJ45" s="8">
        <v>422.12</v>
      </c>
      <c r="AK45" s="8">
        <v>423.62</v>
      </c>
      <c r="AL45" s="8">
        <v>434.7</v>
      </c>
      <c r="AM45" s="8">
        <v>433.2</v>
      </c>
      <c r="AN45" s="8">
        <v>433.56</v>
      </c>
      <c r="AO45" s="8">
        <v>450.36</v>
      </c>
      <c r="AP45" s="8">
        <v>478.42</v>
      </c>
      <c r="AQ45" s="8">
        <v>498.48</v>
      </c>
      <c r="AR45" s="8">
        <v>548.26</v>
      </c>
      <c r="AS45" s="8">
        <v>588.24</v>
      </c>
      <c r="AT45" s="8">
        <v>609.82000000000005</v>
      </c>
      <c r="AU45" s="8">
        <v>636.02</v>
      </c>
      <c r="AV45" s="8">
        <v>663.68</v>
      </c>
      <c r="AW45" s="8">
        <v>678.96</v>
      </c>
      <c r="AX45" s="8">
        <v>702.4</v>
      </c>
      <c r="AY45" s="8">
        <v>738.56</v>
      </c>
      <c r="AZ45" s="8">
        <v>754.26</v>
      </c>
      <c r="BA45" s="8">
        <v>786.2</v>
      </c>
      <c r="BB45" s="8">
        <v>827.66</v>
      </c>
      <c r="BC45" s="8">
        <v>878.74</v>
      </c>
      <c r="BD45" s="8">
        <v>948.22</v>
      </c>
      <c r="BE45" s="8">
        <v>1080.78</v>
      </c>
      <c r="BF45" s="8">
        <v>1260.3599999999999</v>
      </c>
      <c r="BG45" s="8">
        <v>1363.64</v>
      </c>
      <c r="BH45" s="8">
        <v>1530.04</v>
      </c>
      <c r="BI45" s="8">
        <v>1711.84</v>
      </c>
      <c r="BJ45" s="8">
        <v>1834.4</v>
      </c>
      <c r="BK45" s="8">
        <v>2138.54</v>
      </c>
      <c r="BL45" s="8">
        <v>2794.38</v>
      </c>
      <c r="BM45" s="8">
        <v>3398.44</v>
      </c>
      <c r="BN45" s="8">
        <v>3667.5</v>
      </c>
      <c r="BO45" s="8">
        <v>3960.6</v>
      </c>
      <c r="BP45" s="8">
        <v>3976.9</v>
      </c>
      <c r="BQ45" s="8">
        <v>4241.68</v>
      </c>
      <c r="BR45" s="8">
        <v>4460.6000000000004</v>
      </c>
      <c r="BS45" s="8">
        <v>4512.16</v>
      </c>
      <c r="BT45" s="8">
        <v>4480.84</v>
      </c>
      <c r="BU45" s="8">
        <v>4391.7</v>
      </c>
      <c r="BV45" s="8">
        <v>4399.58</v>
      </c>
      <c r="BW45" s="8">
        <v>4471.4799999999996</v>
      </c>
      <c r="BX45" s="8">
        <v>4476.1000000000004</v>
      </c>
      <c r="BY45" s="8">
        <v>4523.3</v>
      </c>
      <c r="BZ45" s="8">
        <v>4501.24</v>
      </c>
      <c r="CA45" s="8">
        <v>4451.6400000000003</v>
      </c>
      <c r="CB45" s="8">
        <v>4328.16</v>
      </c>
      <c r="CC45" s="8">
        <v>4451.7</v>
      </c>
      <c r="CD45" s="8">
        <v>4519.26</v>
      </c>
      <c r="CE45" s="8">
        <v>4572.0200000000004</v>
      </c>
      <c r="CF45" s="8">
        <v>4644.1000000000004</v>
      </c>
      <c r="CG45" s="8">
        <v>4707.72</v>
      </c>
      <c r="CH45" s="8">
        <v>4841.58</v>
      </c>
      <c r="CI45" s="8">
        <v>4861.08</v>
      </c>
      <c r="CJ45" s="8">
        <v>4892.04</v>
      </c>
      <c r="CK45" s="8">
        <v>4959.12</v>
      </c>
      <c r="CL45" s="8">
        <v>5049.74</v>
      </c>
      <c r="CM45" s="8">
        <v>5023.6400000000003</v>
      </c>
      <c r="CN45" s="8">
        <v>5136.0600000000004</v>
      </c>
      <c r="CO45" s="8">
        <v>5229.46</v>
      </c>
      <c r="CP45" s="8">
        <v>5210.58</v>
      </c>
      <c r="CQ45" s="8">
        <v>5179.42</v>
      </c>
      <c r="CR45" s="8">
        <v>5238.2</v>
      </c>
    </row>
    <row r="46" spans="1:96">
      <c r="A46" t="s">
        <v>113</v>
      </c>
      <c r="B46" s="4">
        <v>90.362318840579718</v>
      </c>
      <c r="C46" s="4">
        <v>91.072463768115952</v>
      </c>
      <c r="D46" s="4">
        <v>91.101449275362327</v>
      </c>
      <c r="E46" s="4">
        <v>92.260869565217391</v>
      </c>
      <c r="F46" s="4">
        <v>94.057971014492765</v>
      </c>
      <c r="G46" s="4">
        <v>100.85507246376812</v>
      </c>
      <c r="H46" s="4">
        <v>106.92753623188406</v>
      </c>
      <c r="I46" s="4">
        <v>109.50724637681161</v>
      </c>
      <c r="J46" s="4">
        <v>112.53623188405798</v>
      </c>
      <c r="K46" s="5">
        <v>112.68115942028986</v>
      </c>
      <c r="L46" s="5">
        <v>115.11594202898553</v>
      </c>
      <c r="M46" s="5">
        <v>119.15942028985508</v>
      </c>
      <c r="N46" s="5">
        <v>122.21739130434783</v>
      </c>
      <c r="O46" s="5">
        <v>127.28985507246378</v>
      </c>
      <c r="P46" s="5">
        <v>131.73913043478262</v>
      </c>
      <c r="Q46" s="5">
        <v>136.07246376811597</v>
      </c>
      <c r="R46" s="5">
        <v>139.18840579710147</v>
      </c>
      <c r="S46" s="6">
        <v>141.53623188405797</v>
      </c>
      <c r="T46" s="7">
        <v>152.13043478260872</v>
      </c>
      <c r="U46" s="7">
        <v>165.30434782608697</v>
      </c>
      <c r="V46" s="7">
        <v>167.42028985507247</v>
      </c>
      <c r="W46" s="7">
        <v>175.79710144927537</v>
      </c>
      <c r="X46" s="7">
        <v>178.768115942029</v>
      </c>
      <c r="Y46" s="7">
        <v>179.68115942028987</v>
      </c>
      <c r="Z46" s="7">
        <v>182.56521739130437</v>
      </c>
      <c r="AA46" s="7">
        <v>182.40579710144928</v>
      </c>
      <c r="AB46" s="7">
        <v>182.84057971014494</v>
      </c>
      <c r="AC46" s="7">
        <v>184.50724637681162</v>
      </c>
      <c r="AD46" s="8">
        <v>184.79710144927537</v>
      </c>
      <c r="AE46" s="8">
        <v>188.50724637681159</v>
      </c>
      <c r="AF46" s="8">
        <v>193.42416920915218</v>
      </c>
      <c r="AG46" s="8">
        <v>195.64122483977101</v>
      </c>
      <c r="AH46" s="8">
        <v>200.67606699907103</v>
      </c>
      <c r="AI46" s="8">
        <v>212.28665273750872</v>
      </c>
      <c r="AJ46" s="8">
        <v>214.03464416707681</v>
      </c>
      <c r="AK46" s="8">
        <v>220.52173913043478</v>
      </c>
      <c r="AL46" s="8">
        <v>222.73913043478262</v>
      </c>
      <c r="AM46" s="8">
        <v>225.39130434782612</v>
      </c>
      <c r="AN46" s="8">
        <v>231.4202898550725</v>
      </c>
      <c r="AO46" s="8">
        <v>237.07246376811597</v>
      </c>
      <c r="AP46" s="8">
        <v>290.50724637681162</v>
      </c>
      <c r="AQ46" s="8">
        <v>353.28985507246381</v>
      </c>
      <c r="AR46" s="8">
        <v>382.33333333333337</v>
      </c>
      <c r="AS46" s="8">
        <v>388.75362318840587</v>
      </c>
      <c r="AT46" s="8">
        <v>394.86956521739131</v>
      </c>
      <c r="AU46" s="8">
        <v>442.91304347826093</v>
      </c>
      <c r="AV46" s="8">
        <v>501.08695652173918</v>
      </c>
      <c r="AW46" s="8">
        <v>512.4202898550725</v>
      </c>
      <c r="AX46" s="8">
        <v>546.31884057971013</v>
      </c>
      <c r="AY46" s="8">
        <v>574.63768115942037</v>
      </c>
      <c r="AZ46" s="8">
        <v>596.768115942029</v>
      </c>
      <c r="BA46" s="8">
        <v>627.31884057971024</v>
      </c>
      <c r="BB46" s="8">
        <v>710.40579710144937</v>
      </c>
      <c r="BC46" s="8">
        <v>893.26086956521749</v>
      </c>
      <c r="BD46" s="8">
        <v>1079.1594202898552</v>
      </c>
      <c r="BE46" s="8">
        <v>1177.9855072463768</v>
      </c>
      <c r="BF46" s="8">
        <v>1241.072463768116</v>
      </c>
      <c r="BG46" s="8">
        <v>1290.304347826087</v>
      </c>
      <c r="BH46" s="8">
        <v>1522.6521739130437</v>
      </c>
      <c r="BI46" s="8">
        <v>1807.8405797101452</v>
      </c>
      <c r="BJ46" s="8">
        <v>1903.376811594203</v>
      </c>
      <c r="BK46" s="8">
        <v>2025.0434782608697</v>
      </c>
      <c r="BL46" s="8">
        <v>2350.913043478261</v>
      </c>
      <c r="BM46" s="8">
        <v>2675.304347826087</v>
      </c>
      <c r="BN46" s="8">
        <v>2888.652173913044</v>
      </c>
      <c r="BO46" s="8">
        <v>3488.4057971014495</v>
      </c>
      <c r="BP46" s="8">
        <v>3709.898550724638</v>
      </c>
      <c r="BQ46" s="8">
        <v>3730.2753623188405</v>
      </c>
      <c r="BR46" s="8">
        <v>3733.985507246377</v>
      </c>
      <c r="BS46" s="8">
        <v>3847.7101449275365</v>
      </c>
      <c r="BT46" s="8">
        <v>3959.5652173913045</v>
      </c>
      <c r="BU46" s="8">
        <v>4127.5652173913049</v>
      </c>
      <c r="BV46" s="8">
        <v>4402.985507246377</v>
      </c>
      <c r="BW46" s="8">
        <v>4513.507246376812</v>
      </c>
      <c r="BX46" s="8">
        <v>4584.6956521739139</v>
      </c>
      <c r="BY46" s="8">
        <v>4582.36231884058</v>
      </c>
      <c r="BZ46" s="8">
        <v>4680.2608695652179</v>
      </c>
      <c r="CA46" s="8">
        <v>5061.8695652173919</v>
      </c>
      <c r="CB46" s="8">
        <v>5693.68115942029</v>
      </c>
      <c r="CC46" s="8">
        <v>5823.0937483781745</v>
      </c>
      <c r="CD46" s="8">
        <v>5850.3333333333339</v>
      </c>
      <c r="CE46" s="8">
        <v>5843.9130434782619</v>
      </c>
      <c r="CF46" s="8">
        <v>5755.971014492754</v>
      </c>
      <c r="CG46" s="8">
        <v>5778.739130434783</v>
      </c>
      <c r="CH46" s="8">
        <v>5870.159420289855</v>
      </c>
      <c r="CI46" s="8">
        <v>5744.985507246377</v>
      </c>
      <c r="CJ46" s="8">
        <v>5776.4782608695659</v>
      </c>
      <c r="CK46" s="8">
        <v>5638.1739130434789</v>
      </c>
      <c r="CL46" s="8">
        <v>5725.188405797102</v>
      </c>
      <c r="CM46" s="8">
        <v>5667.7681159420299</v>
      </c>
      <c r="CN46" s="8">
        <v>5698.173913043478</v>
      </c>
      <c r="CO46" s="8">
        <v>5616.666666666667</v>
      </c>
      <c r="CP46" s="8">
        <v>5625.0289855072469</v>
      </c>
      <c r="CQ46" s="8">
        <v>5591.666666666667</v>
      </c>
      <c r="CR46" s="8">
        <v>5606.130434782609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Canasta paper</vt:lpstr>
      <vt:lpstr>canasta_final</vt:lpstr>
      <vt:lpstr>precios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Nahuel Exequiel Salgado</dc:creator>
  <cp:lastModifiedBy>Nahuel Exequiel Salgado</cp:lastModifiedBy>
  <dcterms:created xsi:type="dcterms:W3CDTF">2026-09-27T17:13:44Z</dcterms:created>
  <dcterms:modified xsi:type="dcterms:W3CDTF">2026-09-29T20:45:19Z</dcterms:modified>
</cp:coreProperties>
</file>